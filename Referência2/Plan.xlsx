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OneDrive\Documentos\Projeto_mestrado\DoE\artigos_de_referencia\A_Maslahati\"/>
    </mc:Choice>
  </mc:AlternateContent>
  <xr:revisionPtr revIDLastSave="0" documentId="13_ncr:1_{6185D5A4-4C0F-4465-9771-96634A7171E2}" xr6:coauthVersionLast="47" xr6:coauthVersionMax="47" xr10:uidLastSave="{00000000-0000-0000-0000-000000000000}"/>
  <bookViews>
    <workbookView xWindow="-108" yWindow="-108" windowWidth="23256" windowHeight="12576" activeTab="1" xr2:uid="{09A10B9B-537F-40E6-B362-76221798D0FF}"/>
  </bookViews>
  <sheets>
    <sheet name="Codificado" sheetId="1" r:id="rId1"/>
    <sheet name="rea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N3" i="1"/>
  <c r="O3" i="1"/>
  <c r="I4" i="1"/>
  <c r="J4" i="1"/>
  <c r="K4" i="1"/>
  <c r="L4" i="1"/>
  <c r="M4" i="1"/>
  <c r="N4" i="1"/>
  <c r="O4" i="1"/>
  <c r="I5" i="1"/>
  <c r="J5" i="1"/>
  <c r="K5" i="1"/>
  <c r="L5" i="1"/>
  <c r="M5" i="1"/>
  <c r="N5" i="1"/>
  <c r="O5" i="1"/>
  <c r="I6" i="1"/>
  <c r="J6" i="1"/>
  <c r="K6" i="1"/>
  <c r="L6" i="1"/>
  <c r="M6" i="1"/>
  <c r="N6" i="1"/>
  <c r="O6" i="1"/>
  <c r="I7" i="1"/>
  <c r="J7" i="1"/>
  <c r="K7" i="1"/>
  <c r="L7" i="1"/>
  <c r="M7" i="1"/>
  <c r="N7" i="1"/>
  <c r="O7" i="1"/>
  <c r="I8" i="1"/>
  <c r="J8" i="1"/>
  <c r="K8" i="1"/>
  <c r="L8" i="1"/>
  <c r="M8" i="1"/>
  <c r="N8" i="1"/>
  <c r="O8" i="1"/>
  <c r="I9" i="1"/>
  <c r="J9" i="1"/>
  <c r="K9" i="1"/>
  <c r="L9" i="1"/>
  <c r="M9" i="1"/>
  <c r="N9" i="1"/>
  <c r="O9" i="1"/>
  <c r="I10" i="1"/>
  <c r="J10" i="1"/>
  <c r="K10" i="1"/>
  <c r="L10" i="1"/>
  <c r="M10" i="1"/>
  <c r="N10" i="1"/>
  <c r="O10" i="1"/>
  <c r="I11" i="1"/>
  <c r="J11" i="1"/>
  <c r="K11" i="1"/>
  <c r="L11" i="1"/>
  <c r="M11" i="1"/>
  <c r="N11" i="1"/>
  <c r="O11" i="1"/>
  <c r="I12" i="1"/>
  <c r="J12" i="1"/>
  <c r="K12" i="1"/>
  <c r="L12" i="1"/>
  <c r="M12" i="1"/>
  <c r="N12" i="1"/>
  <c r="O12" i="1"/>
  <c r="I13" i="1"/>
  <c r="J13" i="1"/>
  <c r="K13" i="1"/>
  <c r="L13" i="1"/>
  <c r="M13" i="1"/>
  <c r="N13" i="1"/>
  <c r="O13" i="1"/>
  <c r="I14" i="1"/>
  <c r="J14" i="1"/>
  <c r="K14" i="1"/>
  <c r="L14" i="1"/>
  <c r="M14" i="1"/>
  <c r="N14" i="1"/>
  <c r="O14" i="1"/>
  <c r="I15" i="1"/>
  <c r="J15" i="1"/>
  <c r="K15" i="1"/>
  <c r="L15" i="1"/>
  <c r="M15" i="1"/>
  <c r="N15" i="1"/>
  <c r="O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I20" i="1"/>
  <c r="J20" i="1"/>
  <c r="K20" i="1"/>
  <c r="L20" i="1"/>
  <c r="M20" i="1"/>
  <c r="N20" i="1"/>
  <c r="O20" i="1"/>
  <c r="I21" i="1"/>
  <c r="J21" i="1"/>
  <c r="K21" i="1"/>
  <c r="L21" i="1"/>
  <c r="M21" i="1"/>
  <c r="N21" i="1"/>
  <c r="O21" i="1"/>
  <c r="I22" i="1"/>
  <c r="J22" i="1"/>
  <c r="K22" i="1"/>
  <c r="L22" i="1"/>
  <c r="M22" i="1"/>
  <c r="N22" i="1"/>
  <c r="O22" i="1"/>
  <c r="I23" i="1"/>
  <c r="J23" i="1"/>
  <c r="K23" i="1"/>
  <c r="L23" i="1"/>
  <c r="M23" i="1"/>
  <c r="N23" i="1"/>
  <c r="O23" i="1"/>
  <c r="I24" i="1"/>
  <c r="J24" i="1"/>
  <c r="K24" i="1"/>
  <c r="L24" i="1"/>
  <c r="M24" i="1"/>
  <c r="N24" i="1"/>
  <c r="O24" i="1"/>
  <c r="I25" i="1"/>
  <c r="J25" i="1"/>
  <c r="K25" i="1"/>
  <c r="L25" i="1"/>
  <c r="M25" i="1"/>
  <c r="N25" i="1"/>
  <c r="O25" i="1"/>
  <c r="I26" i="1"/>
  <c r="J26" i="1"/>
  <c r="K26" i="1"/>
  <c r="L26" i="1"/>
  <c r="M26" i="1"/>
  <c r="N26" i="1"/>
  <c r="O26" i="1"/>
  <c r="I27" i="1"/>
  <c r="J27" i="1"/>
  <c r="K27" i="1"/>
  <c r="L27" i="1"/>
  <c r="M27" i="1"/>
  <c r="N27" i="1"/>
  <c r="O27" i="1"/>
  <c r="I28" i="1"/>
  <c r="J28" i="1"/>
  <c r="K28" i="1"/>
  <c r="L28" i="1"/>
  <c r="M28" i="1"/>
  <c r="N28" i="1"/>
  <c r="O28" i="1"/>
  <c r="I29" i="1"/>
  <c r="J29" i="1"/>
  <c r="K29" i="1"/>
  <c r="L29" i="1"/>
  <c r="M29" i="1"/>
  <c r="N29" i="1"/>
  <c r="O29" i="1"/>
  <c r="I30" i="1"/>
  <c r="J30" i="1"/>
  <c r="K30" i="1"/>
  <c r="L30" i="1"/>
  <c r="M30" i="1"/>
  <c r="N30" i="1"/>
  <c r="O30" i="1"/>
  <c r="I31" i="1"/>
  <c r="J31" i="1"/>
  <c r="K31" i="1"/>
  <c r="L31" i="1"/>
  <c r="M31" i="1"/>
  <c r="N31" i="1"/>
  <c r="O31" i="1"/>
  <c r="I32" i="1"/>
  <c r="J32" i="1"/>
  <c r="K32" i="1"/>
  <c r="L32" i="1"/>
  <c r="M32" i="1"/>
  <c r="N32" i="1"/>
  <c r="O32" i="1"/>
  <c r="I33" i="1"/>
  <c r="J33" i="1"/>
  <c r="K33" i="1"/>
  <c r="L33" i="1"/>
  <c r="M33" i="1"/>
  <c r="N33" i="1"/>
  <c r="O33" i="1"/>
  <c r="I34" i="1"/>
  <c r="J34" i="1"/>
  <c r="K34" i="1"/>
  <c r="L34" i="1"/>
  <c r="M34" i="1"/>
  <c r="N34" i="1"/>
  <c r="O34" i="1"/>
  <c r="I35" i="1"/>
  <c r="J35" i="1"/>
  <c r="K35" i="1"/>
  <c r="L35" i="1"/>
  <c r="M35" i="1"/>
  <c r="N35" i="1"/>
  <c r="O35" i="1"/>
  <c r="I36" i="1"/>
  <c r="J36" i="1"/>
  <c r="K36" i="1"/>
  <c r="L36" i="1"/>
  <c r="M36" i="1"/>
  <c r="N36" i="1"/>
  <c r="O36" i="1"/>
  <c r="I37" i="1"/>
  <c r="J37" i="1"/>
  <c r="K37" i="1"/>
  <c r="L37" i="1"/>
  <c r="M37" i="1"/>
  <c r="N37" i="1"/>
  <c r="O37" i="1"/>
  <c r="I38" i="1"/>
  <c r="J38" i="1"/>
  <c r="K38" i="1"/>
  <c r="L38" i="1"/>
  <c r="M38" i="1"/>
  <c r="N38" i="1"/>
  <c r="O38" i="1"/>
  <c r="I39" i="1"/>
  <c r="J39" i="1"/>
  <c r="K39" i="1"/>
  <c r="L39" i="1"/>
  <c r="M39" i="1"/>
  <c r="N39" i="1"/>
  <c r="O39" i="1"/>
  <c r="I40" i="1"/>
  <c r="J40" i="1"/>
  <c r="K40" i="1"/>
  <c r="L40" i="1"/>
  <c r="M40" i="1"/>
  <c r="N40" i="1"/>
  <c r="O40" i="1"/>
  <c r="I41" i="1"/>
  <c r="J41" i="1"/>
  <c r="K41" i="1"/>
  <c r="L41" i="1"/>
  <c r="M41" i="1"/>
  <c r="N41" i="1"/>
  <c r="O41" i="1"/>
  <c r="I42" i="1"/>
  <c r="J42" i="1"/>
  <c r="K42" i="1"/>
  <c r="L42" i="1"/>
  <c r="M42" i="1"/>
  <c r="N42" i="1"/>
  <c r="O42" i="1"/>
  <c r="I43" i="1"/>
  <c r="J43" i="1"/>
  <c r="K43" i="1"/>
  <c r="L43" i="1"/>
  <c r="M43" i="1"/>
  <c r="N43" i="1"/>
  <c r="O43" i="1"/>
  <c r="I44" i="1"/>
  <c r="J44" i="1"/>
  <c r="K44" i="1"/>
  <c r="L44" i="1"/>
  <c r="M44" i="1"/>
  <c r="N44" i="1"/>
  <c r="O44" i="1"/>
  <c r="I45" i="1"/>
  <c r="J45" i="1"/>
  <c r="K45" i="1"/>
  <c r="L45" i="1"/>
  <c r="M45" i="1"/>
  <c r="N45" i="1"/>
  <c r="O45" i="1"/>
  <c r="O2" i="1"/>
  <c r="N2" i="1"/>
  <c r="M2" i="1"/>
  <c r="L2" i="1"/>
  <c r="K2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" i="1"/>
  <c r="F39" i="1"/>
  <c r="F40" i="1"/>
  <c r="F41" i="1"/>
  <c r="F42" i="1"/>
  <c r="F43" i="1"/>
  <c r="F44" i="1"/>
  <c r="F45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</calcChain>
</file>

<file path=xl/sharedStrings.xml><?xml version="1.0" encoding="utf-8"?>
<sst xmlns="http://schemas.openxmlformats.org/spreadsheetml/2006/main" count="26" uniqueCount="22">
  <si>
    <t>Run</t>
  </si>
  <si>
    <t xml:space="preserve"> Fe2+ Con (mg/L)</t>
  </si>
  <si>
    <t xml:space="preserve"> pH</t>
  </si>
  <si>
    <t xml:space="preserve"> H2O2: Fe2+ Ratio</t>
  </si>
  <si>
    <t xml:space="preserve"> TOC Remova l (%)</t>
  </si>
  <si>
    <t xml:space="preserve"> Predicted TOC Removal (%)</t>
  </si>
  <si>
    <t xml:space="preserve"> Error (%)</t>
  </si>
  <si>
    <t>Time (min)</t>
  </si>
  <si>
    <t>A</t>
  </si>
  <si>
    <t>B</t>
  </si>
  <si>
    <t>C</t>
  </si>
  <si>
    <t>D</t>
  </si>
  <si>
    <t>AB</t>
  </si>
  <si>
    <t>AC</t>
  </si>
  <si>
    <t>AD</t>
  </si>
  <si>
    <t>BC</t>
  </si>
  <si>
    <t>BD</t>
  </si>
  <si>
    <t>CD</t>
  </si>
  <si>
    <t>AA</t>
  </si>
  <si>
    <t>BB</t>
  </si>
  <si>
    <t>CC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</si>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</sst>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5624934-3415-4FDF-B01F-47D36C76BC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F0CA-A144-4A15-89DD-3BB5270A55CC}">
  <dimension ref="A1:R48"/>
  <sheetViews>
    <sheetView zoomScale="85" zoomScaleNormal="85" workbookViewId="0">
      <selection activeCell="P28" sqref="P28"/>
    </sheetView>
  </sheetViews>
  <sheetFormatPr defaultRowHeight="14.4" x14ac:dyDescent="0.3"/>
  <cols>
    <col min="5" max="5" width="6.33203125" bestFit="1" customWidth="1"/>
    <col min="6" max="6" width="11.44140625" customWidth="1"/>
    <col min="7" max="7" width="10" bestFit="1" customWidth="1"/>
    <col min="8" max="8" width="11" bestFit="1" customWidth="1"/>
    <col min="17" max="17" width="12.88671875" customWidth="1"/>
    <col min="18" max="18" width="15.33203125" customWidth="1"/>
    <col min="19" max="19" width="9.44140625" bestFit="1" customWidth="1"/>
  </cols>
  <sheetData>
    <row r="1" spans="1:18" ht="43.2" x14ac:dyDescent="0.3">
      <c r="A1" s="2" t="s">
        <v>0</v>
      </c>
      <c r="B1" s="2" t="s">
        <v>8</v>
      </c>
      <c r="C1" s="2" t="s">
        <v>9</v>
      </c>
      <c r="D1" s="2" t="s">
        <v>10</v>
      </c>
      <c r="E1" s="3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7" t="s">
        <v>4</v>
      </c>
      <c r="Q1" s="7" t="s">
        <v>5</v>
      </c>
      <c r="R1" s="7" t="s">
        <v>6</v>
      </c>
    </row>
    <row r="2" spans="1:18" ht="28.8" customHeight="1" x14ac:dyDescent="0.3">
      <c r="A2" s="1">
        <v>1</v>
      </c>
      <c r="B2" s="8">
        <v>1</v>
      </c>
      <c r="C2" s="8">
        <v>-1</v>
      </c>
      <c r="D2" s="8">
        <v>-1</v>
      </c>
      <c r="E2" s="8">
        <v>-1</v>
      </c>
      <c r="F2" s="8">
        <f>B2*C2</f>
        <v>-1</v>
      </c>
      <c r="G2" s="8">
        <f>B2*D2</f>
        <v>-1</v>
      </c>
      <c r="H2" s="8">
        <f>B2*E2</f>
        <v>-1</v>
      </c>
      <c r="I2" s="8">
        <f>C2*D2</f>
        <v>1</v>
      </c>
      <c r="J2" s="9">
        <f>C2*E2</f>
        <v>1</v>
      </c>
      <c r="K2" s="9">
        <f>D2*E2</f>
        <v>1</v>
      </c>
      <c r="L2" s="9">
        <f>B2*B2</f>
        <v>1</v>
      </c>
      <c r="M2" s="9">
        <f>C2*C2</f>
        <v>1</v>
      </c>
      <c r="N2" s="9">
        <f>D2*D2</f>
        <v>1</v>
      </c>
      <c r="O2" s="9">
        <f>E2*E2</f>
        <v>1</v>
      </c>
      <c r="P2" s="1">
        <v>72.67</v>
      </c>
      <c r="Q2" s="8">
        <v>70.314999999999998</v>
      </c>
      <c r="R2" s="8">
        <v>3.2389999999999999</v>
      </c>
    </row>
    <row r="3" spans="1:18" x14ac:dyDescent="0.3">
      <c r="A3" s="1">
        <v>2</v>
      </c>
      <c r="B3" s="8">
        <v>1</v>
      </c>
      <c r="C3" s="8">
        <v>1</v>
      </c>
      <c r="D3" s="8">
        <v>1</v>
      </c>
      <c r="E3" s="8">
        <v>1</v>
      </c>
      <c r="F3" s="8">
        <f t="shared" ref="F3:F45" si="0">B3*C3</f>
        <v>1</v>
      </c>
      <c r="G3" s="8">
        <f t="shared" ref="G3:G45" si="1">B3*D3</f>
        <v>1</v>
      </c>
      <c r="H3" s="8">
        <f t="shared" ref="H3:H45" si="2">B3*E3</f>
        <v>1</v>
      </c>
      <c r="I3" s="8">
        <f t="shared" ref="I3:I45" si="3">C3*D3</f>
        <v>1</v>
      </c>
      <c r="J3" s="9">
        <f t="shared" ref="J3:J45" si="4">C3*E3</f>
        <v>1</v>
      </c>
      <c r="K3" s="9">
        <f t="shared" ref="K3:K45" si="5">D3*E3</f>
        <v>1</v>
      </c>
      <c r="L3" s="9">
        <f t="shared" ref="L3:L45" si="6">B3*B3</f>
        <v>1</v>
      </c>
      <c r="M3" s="9">
        <f t="shared" ref="M3:M45" si="7">C3*C3</f>
        <v>1</v>
      </c>
      <c r="N3" s="9">
        <f t="shared" ref="N3:N45" si="8">D3*D3</f>
        <v>1</v>
      </c>
      <c r="O3" s="9">
        <f t="shared" ref="O3:O45" si="9">E3*E3</f>
        <v>1</v>
      </c>
      <c r="P3" s="1">
        <v>11.71</v>
      </c>
      <c r="Q3" s="8">
        <v>5.9459999999999997</v>
      </c>
      <c r="R3" s="8">
        <v>49.216000000000001</v>
      </c>
    </row>
    <row r="4" spans="1:18" x14ac:dyDescent="0.3">
      <c r="A4" s="10">
        <v>3</v>
      </c>
      <c r="B4" s="11">
        <v>0</v>
      </c>
      <c r="C4" s="11">
        <v>0</v>
      </c>
      <c r="D4" s="11">
        <v>0</v>
      </c>
      <c r="E4" s="11">
        <v>0</v>
      </c>
      <c r="F4" s="8">
        <f t="shared" si="0"/>
        <v>0</v>
      </c>
      <c r="G4" s="8">
        <f t="shared" si="1"/>
        <v>0</v>
      </c>
      <c r="H4" s="8">
        <f t="shared" si="2"/>
        <v>0</v>
      </c>
      <c r="I4" s="8">
        <f t="shared" si="3"/>
        <v>0</v>
      </c>
      <c r="J4" s="9">
        <f t="shared" si="4"/>
        <v>0</v>
      </c>
      <c r="K4" s="9">
        <f t="shared" si="5"/>
        <v>0</v>
      </c>
      <c r="L4" s="9">
        <f t="shared" si="6"/>
        <v>0</v>
      </c>
      <c r="M4" s="9">
        <f t="shared" si="7"/>
        <v>0</v>
      </c>
      <c r="N4" s="9">
        <f t="shared" si="8"/>
        <v>0</v>
      </c>
      <c r="O4" s="9">
        <f t="shared" si="9"/>
        <v>0</v>
      </c>
      <c r="P4" s="1">
        <v>26.01</v>
      </c>
      <c r="Q4" s="8">
        <v>25.009</v>
      </c>
      <c r="R4" s="8">
        <v>3.8450000000000002</v>
      </c>
    </row>
    <row r="5" spans="1:18" x14ac:dyDescent="0.3">
      <c r="A5" s="10">
        <v>4</v>
      </c>
      <c r="B5" s="11">
        <v>0</v>
      </c>
      <c r="C5" s="11">
        <v>0</v>
      </c>
      <c r="D5" s="11">
        <v>0</v>
      </c>
      <c r="E5" s="11">
        <v>0</v>
      </c>
      <c r="F5" s="8">
        <f t="shared" si="0"/>
        <v>0</v>
      </c>
      <c r="G5" s="8">
        <f t="shared" si="1"/>
        <v>0</v>
      </c>
      <c r="H5" s="8">
        <f t="shared" si="2"/>
        <v>0</v>
      </c>
      <c r="I5" s="8">
        <f t="shared" si="3"/>
        <v>0</v>
      </c>
      <c r="J5" s="9">
        <f t="shared" si="4"/>
        <v>0</v>
      </c>
      <c r="K5" s="9">
        <f t="shared" si="5"/>
        <v>0</v>
      </c>
      <c r="L5" s="9">
        <f t="shared" si="6"/>
        <v>0</v>
      </c>
      <c r="M5" s="9">
        <f t="shared" si="7"/>
        <v>0</v>
      </c>
      <c r="N5" s="9">
        <f t="shared" si="8"/>
        <v>0</v>
      </c>
      <c r="O5" s="9">
        <f t="shared" si="9"/>
        <v>0</v>
      </c>
      <c r="P5" s="1">
        <v>25.58</v>
      </c>
      <c r="Q5" s="8">
        <v>25.009</v>
      </c>
      <c r="R5" s="8">
        <v>2.2290000000000001</v>
      </c>
    </row>
    <row r="6" spans="1:18" x14ac:dyDescent="0.3">
      <c r="A6" s="10">
        <v>5</v>
      </c>
      <c r="B6" s="11">
        <v>0</v>
      </c>
      <c r="C6" s="11">
        <v>0</v>
      </c>
      <c r="D6" s="11">
        <v>0</v>
      </c>
      <c r="E6" s="11">
        <v>0</v>
      </c>
      <c r="F6" s="8">
        <f t="shared" si="0"/>
        <v>0</v>
      </c>
      <c r="G6" s="8">
        <f t="shared" si="1"/>
        <v>0</v>
      </c>
      <c r="H6" s="8">
        <f t="shared" si="2"/>
        <v>0</v>
      </c>
      <c r="I6" s="8">
        <f t="shared" si="3"/>
        <v>0</v>
      </c>
      <c r="J6" s="9">
        <f t="shared" si="4"/>
        <v>0</v>
      </c>
      <c r="K6" s="9">
        <f t="shared" si="5"/>
        <v>0</v>
      </c>
      <c r="L6" s="9">
        <f t="shared" si="6"/>
        <v>0</v>
      </c>
      <c r="M6" s="9">
        <f t="shared" si="7"/>
        <v>0</v>
      </c>
      <c r="N6" s="9">
        <f t="shared" si="8"/>
        <v>0</v>
      </c>
      <c r="O6" s="9">
        <f t="shared" si="9"/>
        <v>0</v>
      </c>
      <c r="P6" s="1">
        <v>22.42</v>
      </c>
      <c r="Q6" s="8">
        <v>25.009</v>
      </c>
      <c r="R6" s="8">
        <v>-11.551</v>
      </c>
    </row>
    <row r="7" spans="1:18" x14ac:dyDescent="0.3">
      <c r="A7" s="10">
        <v>6</v>
      </c>
      <c r="B7" s="11">
        <v>0</v>
      </c>
      <c r="C7" s="11">
        <v>0</v>
      </c>
      <c r="D7" s="11">
        <v>0</v>
      </c>
      <c r="E7" s="11">
        <v>0</v>
      </c>
      <c r="F7" s="8">
        <f t="shared" si="0"/>
        <v>0</v>
      </c>
      <c r="G7" s="8">
        <f t="shared" si="1"/>
        <v>0</v>
      </c>
      <c r="H7" s="8">
        <f t="shared" si="2"/>
        <v>0</v>
      </c>
      <c r="I7" s="8">
        <f t="shared" si="3"/>
        <v>0</v>
      </c>
      <c r="J7" s="9">
        <f t="shared" si="4"/>
        <v>0</v>
      </c>
      <c r="K7" s="9">
        <f t="shared" si="5"/>
        <v>0</v>
      </c>
      <c r="L7" s="9">
        <f t="shared" si="6"/>
        <v>0</v>
      </c>
      <c r="M7" s="9">
        <f t="shared" si="7"/>
        <v>0</v>
      </c>
      <c r="N7" s="9">
        <f t="shared" si="8"/>
        <v>0</v>
      </c>
      <c r="O7" s="9">
        <f t="shared" si="9"/>
        <v>0</v>
      </c>
      <c r="P7" s="1">
        <v>28.31</v>
      </c>
      <c r="Q7" s="8">
        <v>25.009</v>
      </c>
      <c r="R7" s="8">
        <v>11.657</v>
      </c>
    </row>
    <row r="8" spans="1:18" x14ac:dyDescent="0.3">
      <c r="A8" s="10">
        <v>7</v>
      </c>
      <c r="B8" s="11">
        <v>0</v>
      </c>
      <c r="C8" s="11">
        <v>0</v>
      </c>
      <c r="D8" s="11">
        <v>0</v>
      </c>
      <c r="E8" s="11">
        <v>0</v>
      </c>
      <c r="F8" s="8">
        <f t="shared" si="0"/>
        <v>0</v>
      </c>
      <c r="G8" s="8">
        <f t="shared" si="1"/>
        <v>0</v>
      </c>
      <c r="H8" s="8">
        <f t="shared" si="2"/>
        <v>0</v>
      </c>
      <c r="I8" s="8">
        <f t="shared" si="3"/>
        <v>0</v>
      </c>
      <c r="J8" s="9">
        <f t="shared" si="4"/>
        <v>0</v>
      </c>
      <c r="K8" s="9">
        <f t="shared" si="5"/>
        <v>0</v>
      </c>
      <c r="L8" s="9">
        <f t="shared" si="6"/>
        <v>0</v>
      </c>
      <c r="M8" s="9">
        <f t="shared" si="7"/>
        <v>0</v>
      </c>
      <c r="N8" s="9">
        <f t="shared" si="8"/>
        <v>0</v>
      </c>
      <c r="O8" s="9">
        <f t="shared" si="9"/>
        <v>0</v>
      </c>
      <c r="P8" s="1">
        <v>34.83</v>
      </c>
      <c r="Q8" s="8">
        <v>25.009</v>
      </c>
      <c r="R8" s="8">
        <v>28.193999999999999</v>
      </c>
    </row>
    <row r="9" spans="1:18" x14ac:dyDescent="0.3">
      <c r="A9" s="10">
        <v>8</v>
      </c>
      <c r="B9" s="11">
        <v>0</v>
      </c>
      <c r="C9" s="11">
        <v>0</v>
      </c>
      <c r="D9" s="11">
        <v>0</v>
      </c>
      <c r="E9" s="11">
        <v>0</v>
      </c>
      <c r="F9" s="8">
        <f t="shared" si="0"/>
        <v>0</v>
      </c>
      <c r="G9" s="8">
        <f t="shared" si="1"/>
        <v>0</v>
      </c>
      <c r="H9" s="8">
        <f t="shared" si="2"/>
        <v>0</v>
      </c>
      <c r="I9" s="8">
        <f t="shared" si="3"/>
        <v>0</v>
      </c>
      <c r="J9" s="9">
        <f t="shared" si="4"/>
        <v>0</v>
      </c>
      <c r="K9" s="9">
        <f t="shared" si="5"/>
        <v>0</v>
      </c>
      <c r="L9" s="9">
        <f t="shared" si="6"/>
        <v>0</v>
      </c>
      <c r="M9" s="9">
        <f t="shared" si="7"/>
        <v>0</v>
      </c>
      <c r="N9" s="9">
        <f t="shared" si="8"/>
        <v>0</v>
      </c>
      <c r="O9" s="9">
        <f t="shared" si="9"/>
        <v>0</v>
      </c>
      <c r="P9" s="1">
        <v>32.369999999999997</v>
      </c>
      <c r="Q9" s="8">
        <v>25.009</v>
      </c>
      <c r="R9" s="8">
        <v>22.736999999999998</v>
      </c>
    </row>
    <row r="10" spans="1:18" x14ac:dyDescent="0.3">
      <c r="A10" s="10">
        <v>9</v>
      </c>
      <c r="B10" s="11">
        <v>0</v>
      </c>
      <c r="C10" s="11">
        <v>0</v>
      </c>
      <c r="D10" s="11">
        <v>0</v>
      </c>
      <c r="E10" s="11">
        <v>0</v>
      </c>
      <c r="F10" s="8">
        <f t="shared" si="0"/>
        <v>0</v>
      </c>
      <c r="G10" s="8">
        <f t="shared" si="1"/>
        <v>0</v>
      </c>
      <c r="H10" s="8">
        <f t="shared" si="2"/>
        <v>0</v>
      </c>
      <c r="I10" s="8">
        <f t="shared" si="3"/>
        <v>0</v>
      </c>
      <c r="J10" s="9">
        <f t="shared" si="4"/>
        <v>0</v>
      </c>
      <c r="K10" s="9">
        <f t="shared" si="5"/>
        <v>0</v>
      </c>
      <c r="L10" s="9">
        <f t="shared" si="6"/>
        <v>0</v>
      </c>
      <c r="M10" s="9">
        <f t="shared" si="7"/>
        <v>0</v>
      </c>
      <c r="N10" s="9">
        <f t="shared" si="8"/>
        <v>0</v>
      </c>
      <c r="O10" s="9">
        <f t="shared" si="9"/>
        <v>0</v>
      </c>
      <c r="P10" s="1">
        <v>24.12</v>
      </c>
      <c r="Q10" s="8">
        <v>25.009</v>
      </c>
      <c r="R10" s="8">
        <v>-3.6890000000000001</v>
      </c>
    </row>
    <row r="11" spans="1:18" x14ac:dyDescent="0.3">
      <c r="A11" s="10">
        <v>10</v>
      </c>
      <c r="B11" s="11">
        <v>0</v>
      </c>
      <c r="C11" s="11">
        <v>0</v>
      </c>
      <c r="D11" s="11">
        <v>0</v>
      </c>
      <c r="E11" s="11">
        <v>0</v>
      </c>
      <c r="F11" s="8">
        <f t="shared" si="0"/>
        <v>0</v>
      </c>
      <c r="G11" s="8">
        <f t="shared" si="1"/>
        <v>0</v>
      </c>
      <c r="H11" s="8">
        <f t="shared" si="2"/>
        <v>0</v>
      </c>
      <c r="I11" s="8">
        <f t="shared" si="3"/>
        <v>0</v>
      </c>
      <c r="J11" s="9">
        <f t="shared" si="4"/>
        <v>0</v>
      </c>
      <c r="K11" s="9">
        <f t="shared" si="5"/>
        <v>0</v>
      </c>
      <c r="L11" s="9">
        <f t="shared" si="6"/>
        <v>0</v>
      </c>
      <c r="M11" s="9">
        <f t="shared" si="7"/>
        <v>0</v>
      </c>
      <c r="N11" s="9">
        <f t="shared" si="8"/>
        <v>0</v>
      </c>
      <c r="O11" s="9">
        <f t="shared" si="9"/>
        <v>0</v>
      </c>
      <c r="P11" s="1">
        <v>22.46</v>
      </c>
      <c r="Q11" s="8">
        <v>25.009</v>
      </c>
      <c r="R11" s="8">
        <v>-11.352</v>
      </c>
    </row>
    <row r="12" spans="1:18" x14ac:dyDescent="0.3">
      <c r="A12" s="1">
        <v>11</v>
      </c>
      <c r="B12" s="8">
        <v>-1</v>
      </c>
      <c r="C12" s="8">
        <v>-1</v>
      </c>
      <c r="D12" s="8">
        <v>1</v>
      </c>
      <c r="E12" s="8">
        <v>-1</v>
      </c>
      <c r="F12" s="8">
        <f t="shared" si="0"/>
        <v>1</v>
      </c>
      <c r="G12" s="8">
        <f t="shared" si="1"/>
        <v>-1</v>
      </c>
      <c r="H12" s="8">
        <f t="shared" si="2"/>
        <v>1</v>
      </c>
      <c r="I12" s="8">
        <f t="shared" si="3"/>
        <v>-1</v>
      </c>
      <c r="J12" s="9">
        <f t="shared" si="4"/>
        <v>1</v>
      </c>
      <c r="K12" s="9">
        <f t="shared" si="5"/>
        <v>-1</v>
      </c>
      <c r="L12" s="9">
        <f t="shared" si="6"/>
        <v>1</v>
      </c>
      <c r="M12" s="9">
        <f t="shared" si="7"/>
        <v>1</v>
      </c>
      <c r="N12" s="9">
        <f t="shared" si="8"/>
        <v>1</v>
      </c>
      <c r="O12" s="9">
        <f t="shared" si="9"/>
        <v>1</v>
      </c>
      <c r="P12" s="1">
        <v>17.2</v>
      </c>
      <c r="Q12" s="8">
        <v>10.885</v>
      </c>
      <c r="R12" s="8">
        <v>36.71</v>
      </c>
    </row>
    <row r="13" spans="1:18" x14ac:dyDescent="0.3">
      <c r="A13" s="1">
        <v>12</v>
      </c>
      <c r="B13" s="8">
        <v>-1</v>
      </c>
      <c r="C13" s="8">
        <v>-1</v>
      </c>
      <c r="D13" s="8">
        <v>-1</v>
      </c>
      <c r="E13" s="8">
        <v>1</v>
      </c>
      <c r="F13" s="8">
        <f t="shared" si="0"/>
        <v>1</v>
      </c>
      <c r="G13" s="8">
        <f t="shared" si="1"/>
        <v>1</v>
      </c>
      <c r="H13" s="8">
        <f t="shared" si="2"/>
        <v>-1</v>
      </c>
      <c r="I13" s="8">
        <f t="shared" si="3"/>
        <v>1</v>
      </c>
      <c r="J13" s="9">
        <f t="shared" si="4"/>
        <v>-1</v>
      </c>
      <c r="K13" s="9">
        <f t="shared" si="5"/>
        <v>-1</v>
      </c>
      <c r="L13" s="9">
        <f t="shared" si="6"/>
        <v>1</v>
      </c>
      <c r="M13" s="9">
        <f t="shared" si="7"/>
        <v>1</v>
      </c>
      <c r="N13" s="9">
        <f t="shared" si="8"/>
        <v>1</v>
      </c>
      <c r="O13" s="9">
        <f t="shared" si="9"/>
        <v>1</v>
      </c>
      <c r="P13" s="1">
        <v>40.29</v>
      </c>
      <c r="Q13" s="8">
        <v>40.002000000000002</v>
      </c>
      <c r="R13" s="8">
        <v>7.1400000000000001E-4</v>
      </c>
    </row>
    <row r="14" spans="1:18" x14ac:dyDescent="0.3">
      <c r="A14" s="10">
        <v>1</v>
      </c>
      <c r="B14" s="11">
        <v>0</v>
      </c>
      <c r="C14" s="11">
        <v>0</v>
      </c>
      <c r="D14" s="11">
        <v>0</v>
      </c>
      <c r="E14" s="11">
        <v>0</v>
      </c>
      <c r="F14" s="8">
        <f t="shared" si="0"/>
        <v>0</v>
      </c>
      <c r="G14" s="8">
        <f t="shared" si="1"/>
        <v>0</v>
      </c>
      <c r="H14" s="8">
        <f t="shared" si="2"/>
        <v>0</v>
      </c>
      <c r="I14" s="8">
        <f t="shared" si="3"/>
        <v>0</v>
      </c>
      <c r="J14" s="9">
        <f t="shared" si="4"/>
        <v>0</v>
      </c>
      <c r="K14" s="9">
        <f t="shared" si="5"/>
        <v>0</v>
      </c>
      <c r="L14" s="9">
        <f t="shared" si="6"/>
        <v>0</v>
      </c>
      <c r="M14" s="9">
        <f t="shared" si="7"/>
        <v>0</v>
      </c>
      <c r="N14" s="9">
        <f t="shared" si="8"/>
        <v>0</v>
      </c>
      <c r="O14" s="9">
        <f t="shared" si="9"/>
        <v>0</v>
      </c>
      <c r="P14" s="1">
        <v>25.36</v>
      </c>
      <c r="Q14" s="8">
        <v>25.009</v>
      </c>
      <c r="R14" s="8">
        <v>1.38</v>
      </c>
    </row>
    <row r="15" spans="1:18" x14ac:dyDescent="0.3">
      <c r="A15" s="1">
        <v>14</v>
      </c>
      <c r="B15" s="8">
        <v>1</v>
      </c>
      <c r="C15" s="8">
        <v>1</v>
      </c>
      <c r="D15" s="8">
        <v>-1</v>
      </c>
      <c r="E15" s="8">
        <v>-1</v>
      </c>
      <c r="F15" s="8">
        <f t="shared" si="0"/>
        <v>1</v>
      </c>
      <c r="G15" s="8">
        <f t="shared" si="1"/>
        <v>-1</v>
      </c>
      <c r="H15" s="8">
        <f t="shared" si="2"/>
        <v>-1</v>
      </c>
      <c r="I15" s="8">
        <f t="shared" si="3"/>
        <v>-1</v>
      </c>
      <c r="J15" s="9">
        <f t="shared" si="4"/>
        <v>-1</v>
      </c>
      <c r="K15" s="9">
        <f t="shared" si="5"/>
        <v>1</v>
      </c>
      <c r="L15" s="9">
        <f t="shared" si="6"/>
        <v>1</v>
      </c>
      <c r="M15" s="9">
        <f t="shared" si="7"/>
        <v>1</v>
      </c>
      <c r="N15" s="9">
        <f t="shared" si="8"/>
        <v>1</v>
      </c>
      <c r="O15" s="9">
        <f t="shared" si="9"/>
        <v>1</v>
      </c>
      <c r="P15" s="1">
        <v>52.71</v>
      </c>
      <c r="Q15" s="8">
        <v>50.158000000000001</v>
      </c>
      <c r="R15" s="8">
        <v>4.84</v>
      </c>
    </row>
    <row r="16" spans="1:18" x14ac:dyDescent="0.3">
      <c r="A16" s="10">
        <v>15</v>
      </c>
      <c r="B16" s="11">
        <v>0</v>
      </c>
      <c r="C16" s="11">
        <v>0</v>
      </c>
      <c r="D16" s="11">
        <v>0</v>
      </c>
      <c r="E16" s="11">
        <v>0</v>
      </c>
      <c r="F16" s="8">
        <f t="shared" si="0"/>
        <v>0</v>
      </c>
      <c r="G16" s="8">
        <f t="shared" si="1"/>
        <v>0</v>
      </c>
      <c r="H16" s="8">
        <f t="shared" si="2"/>
        <v>0</v>
      </c>
      <c r="I16" s="8">
        <f t="shared" si="3"/>
        <v>0</v>
      </c>
      <c r="J16" s="9">
        <f t="shared" si="4"/>
        <v>0</v>
      </c>
      <c r="K16" s="9">
        <f t="shared" si="5"/>
        <v>0</v>
      </c>
      <c r="L16" s="9">
        <f t="shared" si="6"/>
        <v>0</v>
      </c>
      <c r="M16" s="9">
        <f t="shared" si="7"/>
        <v>0</v>
      </c>
      <c r="N16" s="9">
        <f t="shared" si="8"/>
        <v>0</v>
      </c>
      <c r="O16" s="9">
        <f t="shared" si="9"/>
        <v>0</v>
      </c>
      <c r="P16" s="1">
        <v>25.95</v>
      </c>
      <c r="Q16" s="8">
        <v>25.009</v>
      </c>
      <c r="R16" s="8">
        <v>3.6230000000000002</v>
      </c>
    </row>
    <row r="17" spans="1:18" x14ac:dyDescent="0.3">
      <c r="A17" s="1">
        <v>16</v>
      </c>
      <c r="B17" s="8">
        <v>-1</v>
      </c>
      <c r="C17" s="8">
        <v>1</v>
      </c>
      <c r="D17" s="8">
        <v>1</v>
      </c>
      <c r="E17" s="8">
        <v>1</v>
      </c>
      <c r="F17" s="8">
        <f t="shared" si="0"/>
        <v>-1</v>
      </c>
      <c r="G17" s="8">
        <f t="shared" si="1"/>
        <v>-1</v>
      </c>
      <c r="H17" s="8">
        <f t="shared" si="2"/>
        <v>-1</v>
      </c>
      <c r="I17" s="8">
        <f t="shared" si="3"/>
        <v>1</v>
      </c>
      <c r="J17" s="9">
        <f t="shared" si="4"/>
        <v>1</v>
      </c>
      <c r="K17" s="9">
        <f t="shared" si="5"/>
        <v>1</v>
      </c>
      <c r="L17" s="9">
        <f t="shared" si="6"/>
        <v>1</v>
      </c>
      <c r="M17" s="9">
        <f t="shared" si="7"/>
        <v>1</v>
      </c>
      <c r="N17" s="9">
        <f t="shared" si="8"/>
        <v>1</v>
      </c>
      <c r="O17" s="9">
        <f t="shared" si="9"/>
        <v>1</v>
      </c>
      <c r="P17" s="1">
        <v>6.7</v>
      </c>
      <c r="Q17" s="8">
        <v>73.741</v>
      </c>
      <c r="R17" s="8">
        <v>-10.061</v>
      </c>
    </row>
    <row r="18" spans="1:18" x14ac:dyDescent="0.3">
      <c r="A18" s="10">
        <v>17</v>
      </c>
      <c r="B18" s="11">
        <v>0</v>
      </c>
      <c r="C18" s="11">
        <v>0</v>
      </c>
      <c r="D18" s="11">
        <v>0</v>
      </c>
      <c r="E18" s="11">
        <v>0</v>
      </c>
      <c r="F18" s="8">
        <f t="shared" si="0"/>
        <v>0</v>
      </c>
      <c r="G18" s="8">
        <f t="shared" si="1"/>
        <v>0</v>
      </c>
      <c r="H18" s="8">
        <f t="shared" si="2"/>
        <v>0</v>
      </c>
      <c r="I18" s="8">
        <f t="shared" si="3"/>
        <v>0</v>
      </c>
      <c r="J18" s="9">
        <f t="shared" si="4"/>
        <v>0</v>
      </c>
      <c r="K18" s="9">
        <f t="shared" si="5"/>
        <v>0</v>
      </c>
      <c r="L18" s="9">
        <f t="shared" si="6"/>
        <v>0</v>
      </c>
      <c r="M18" s="9">
        <f t="shared" si="7"/>
        <v>0</v>
      </c>
      <c r="N18" s="9">
        <f t="shared" si="8"/>
        <v>0</v>
      </c>
      <c r="O18" s="9">
        <f t="shared" si="9"/>
        <v>0</v>
      </c>
      <c r="P18" s="1">
        <v>23.47</v>
      </c>
      <c r="Q18" s="8">
        <v>25.009</v>
      </c>
      <c r="R18" s="8">
        <v>-6.56</v>
      </c>
    </row>
    <row r="19" spans="1:18" x14ac:dyDescent="0.3">
      <c r="A19" s="10">
        <v>18</v>
      </c>
      <c r="B19" s="11">
        <v>0</v>
      </c>
      <c r="C19" s="11">
        <v>0</v>
      </c>
      <c r="D19" s="11">
        <v>0</v>
      </c>
      <c r="E19" s="11">
        <v>0</v>
      </c>
      <c r="F19" s="8">
        <f t="shared" si="0"/>
        <v>0</v>
      </c>
      <c r="G19" s="8">
        <f t="shared" si="1"/>
        <v>0</v>
      </c>
      <c r="H19" s="8">
        <f t="shared" si="2"/>
        <v>0</v>
      </c>
      <c r="I19" s="8">
        <f t="shared" si="3"/>
        <v>0</v>
      </c>
      <c r="J19" s="9">
        <f t="shared" si="4"/>
        <v>0</v>
      </c>
      <c r="K19" s="9">
        <f t="shared" si="5"/>
        <v>0</v>
      </c>
      <c r="L19" s="9">
        <f t="shared" si="6"/>
        <v>0</v>
      </c>
      <c r="M19" s="9">
        <f t="shared" si="7"/>
        <v>0</v>
      </c>
      <c r="N19" s="9">
        <f t="shared" si="8"/>
        <v>0</v>
      </c>
      <c r="O19" s="9">
        <f t="shared" si="9"/>
        <v>0</v>
      </c>
      <c r="P19" s="1">
        <v>25.26</v>
      </c>
      <c r="Q19" s="8">
        <v>25.009</v>
      </c>
      <c r="R19" s="8">
        <v>9.8999999999999999E-4</v>
      </c>
    </row>
    <row r="20" spans="1:18" x14ac:dyDescent="0.3">
      <c r="A20" s="10">
        <v>19</v>
      </c>
      <c r="B20" s="11">
        <v>0</v>
      </c>
      <c r="C20" s="11">
        <v>0</v>
      </c>
      <c r="D20" s="11">
        <v>0</v>
      </c>
      <c r="E20" s="11">
        <v>0</v>
      </c>
      <c r="F20" s="8">
        <f t="shared" si="0"/>
        <v>0</v>
      </c>
      <c r="G20" s="8">
        <f t="shared" si="1"/>
        <v>0</v>
      </c>
      <c r="H20" s="8">
        <f t="shared" si="2"/>
        <v>0</v>
      </c>
      <c r="I20" s="8">
        <f t="shared" si="3"/>
        <v>0</v>
      </c>
      <c r="J20" s="9">
        <f t="shared" si="4"/>
        <v>0</v>
      </c>
      <c r="K20" s="9">
        <f t="shared" si="5"/>
        <v>0</v>
      </c>
      <c r="L20" s="9">
        <f t="shared" si="6"/>
        <v>0</v>
      </c>
      <c r="M20" s="9">
        <f t="shared" si="7"/>
        <v>0</v>
      </c>
      <c r="N20" s="9">
        <f t="shared" si="8"/>
        <v>0</v>
      </c>
      <c r="O20" s="9">
        <f t="shared" si="9"/>
        <v>0</v>
      </c>
      <c r="P20" s="1">
        <v>25.93</v>
      </c>
      <c r="Q20" s="8">
        <v>25.009</v>
      </c>
      <c r="R20" s="8">
        <v>3.548</v>
      </c>
    </row>
    <row r="21" spans="1:18" x14ac:dyDescent="0.3">
      <c r="A21" s="1">
        <v>20</v>
      </c>
      <c r="B21" s="8">
        <v>1</v>
      </c>
      <c r="C21" s="8">
        <v>1</v>
      </c>
      <c r="D21" s="8">
        <v>1</v>
      </c>
      <c r="E21" s="8">
        <v>-1</v>
      </c>
      <c r="F21" s="8">
        <f t="shared" si="0"/>
        <v>1</v>
      </c>
      <c r="G21" s="8">
        <f t="shared" si="1"/>
        <v>1</v>
      </c>
      <c r="H21" s="8">
        <f t="shared" si="2"/>
        <v>-1</v>
      </c>
      <c r="I21" s="8">
        <f t="shared" si="3"/>
        <v>1</v>
      </c>
      <c r="J21" s="9">
        <f t="shared" si="4"/>
        <v>-1</v>
      </c>
      <c r="K21" s="9">
        <f t="shared" si="5"/>
        <v>-1</v>
      </c>
      <c r="L21" s="9">
        <f t="shared" si="6"/>
        <v>1</v>
      </c>
      <c r="M21" s="9">
        <f t="shared" si="7"/>
        <v>1</v>
      </c>
      <c r="N21" s="9">
        <f t="shared" si="8"/>
        <v>1</v>
      </c>
      <c r="O21" s="9">
        <f t="shared" si="9"/>
        <v>1</v>
      </c>
      <c r="P21" s="1">
        <v>15.78</v>
      </c>
      <c r="Q21" s="8">
        <v>14.388</v>
      </c>
      <c r="R21" s="8">
        <v>8.82</v>
      </c>
    </row>
    <row r="22" spans="1:18" x14ac:dyDescent="0.3">
      <c r="A22" s="10">
        <v>21</v>
      </c>
      <c r="B22" s="11">
        <v>0</v>
      </c>
      <c r="C22" s="11">
        <v>0</v>
      </c>
      <c r="D22" s="11">
        <v>0</v>
      </c>
      <c r="E22" s="11">
        <v>0</v>
      </c>
      <c r="F22" s="8">
        <f t="shared" si="0"/>
        <v>0</v>
      </c>
      <c r="G22" s="8">
        <f t="shared" si="1"/>
        <v>0</v>
      </c>
      <c r="H22" s="8">
        <f t="shared" si="2"/>
        <v>0</v>
      </c>
      <c r="I22" s="8">
        <f t="shared" si="3"/>
        <v>0</v>
      </c>
      <c r="J22" s="9">
        <f t="shared" si="4"/>
        <v>0</v>
      </c>
      <c r="K22" s="9">
        <f t="shared" si="5"/>
        <v>0</v>
      </c>
      <c r="L22" s="9">
        <f t="shared" si="6"/>
        <v>0</v>
      </c>
      <c r="M22" s="9">
        <f t="shared" si="7"/>
        <v>0</v>
      </c>
      <c r="N22" s="9">
        <f t="shared" si="8"/>
        <v>0</v>
      </c>
      <c r="O22" s="9">
        <f t="shared" si="9"/>
        <v>0</v>
      </c>
      <c r="P22" s="1">
        <v>27.51</v>
      </c>
      <c r="Q22" s="8">
        <v>25.009</v>
      </c>
      <c r="R22" s="8">
        <v>9.0879999999999992</v>
      </c>
    </row>
    <row r="23" spans="1:18" x14ac:dyDescent="0.3">
      <c r="A23" s="10">
        <v>22</v>
      </c>
      <c r="B23" s="11">
        <v>0</v>
      </c>
      <c r="C23" s="11">
        <v>0</v>
      </c>
      <c r="D23" s="11">
        <v>0</v>
      </c>
      <c r="E23" s="11">
        <v>0</v>
      </c>
      <c r="F23" s="8">
        <f t="shared" si="0"/>
        <v>0</v>
      </c>
      <c r="G23" s="8">
        <f t="shared" si="1"/>
        <v>0</v>
      </c>
      <c r="H23" s="8">
        <f t="shared" si="2"/>
        <v>0</v>
      </c>
      <c r="I23" s="8">
        <f t="shared" si="3"/>
        <v>0</v>
      </c>
      <c r="J23" s="9">
        <f t="shared" si="4"/>
        <v>0</v>
      </c>
      <c r="K23" s="9">
        <f t="shared" si="5"/>
        <v>0</v>
      </c>
      <c r="L23" s="9">
        <f t="shared" si="6"/>
        <v>0</v>
      </c>
      <c r="M23" s="9">
        <f t="shared" si="7"/>
        <v>0</v>
      </c>
      <c r="N23" s="9">
        <f t="shared" si="8"/>
        <v>0</v>
      </c>
      <c r="O23" s="9">
        <f t="shared" si="9"/>
        <v>0</v>
      </c>
      <c r="P23" s="1">
        <v>24.34</v>
      </c>
      <c r="Q23" s="8">
        <v>25.009</v>
      </c>
      <c r="R23" s="8">
        <v>-2.7509999999999999</v>
      </c>
    </row>
    <row r="24" spans="1:18" x14ac:dyDescent="0.3">
      <c r="A24" s="1">
        <v>23</v>
      </c>
      <c r="B24" s="8">
        <v>1</v>
      </c>
      <c r="C24" s="8">
        <v>1</v>
      </c>
      <c r="D24" s="8">
        <v>-1</v>
      </c>
      <c r="E24" s="8">
        <v>1</v>
      </c>
      <c r="F24" s="8">
        <f>B24*C24</f>
        <v>1</v>
      </c>
      <c r="G24" s="8">
        <f t="shared" si="1"/>
        <v>-1</v>
      </c>
      <c r="H24" s="8">
        <f t="shared" si="2"/>
        <v>1</v>
      </c>
      <c r="I24" s="8">
        <f t="shared" si="3"/>
        <v>-1</v>
      </c>
      <c r="J24" s="9">
        <f t="shared" si="4"/>
        <v>1</v>
      </c>
      <c r="K24" s="9">
        <f t="shared" si="5"/>
        <v>-1</v>
      </c>
      <c r="L24" s="9">
        <f t="shared" si="6"/>
        <v>1</v>
      </c>
      <c r="M24" s="9">
        <f t="shared" si="7"/>
        <v>1</v>
      </c>
      <c r="N24" s="9">
        <f t="shared" si="8"/>
        <v>1</v>
      </c>
      <c r="O24" s="9">
        <f t="shared" si="9"/>
        <v>1</v>
      </c>
      <c r="P24" s="1">
        <v>29.24</v>
      </c>
      <c r="Q24" s="8">
        <v>33.874000000000002</v>
      </c>
      <c r="R24" s="8">
        <v>-15.848000000000001</v>
      </c>
    </row>
    <row r="25" spans="1:18" x14ac:dyDescent="0.3">
      <c r="A25" s="1">
        <v>24</v>
      </c>
      <c r="B25" s="8">
        <v>-1</v>
      </c>
      <c r="C25" s="8">
        <v>1</v>
      </c>
      <c r="D25" s="8">
        <v>-1</v>
      </c>
      <c r="E25" s="8">
        <v>-1</v>
      </c>
      <c r="F25" s="8">
        <f t="shared" si="0"/>
        <v>-1</v>
      </c>
      <c r="G25" s="8">
        <f t="shared" si="1"/>
        <v>1</v>
      </c>
      <c r="H25" s="8">
        <f t="shared" si="2"/>
        <v>1</v>
      </c>
      <c r="I25" s="8">
        <f t="shared" si="3"/>
        <v>-1</v>
      </c>
      <c r="J25" s="9">
        <f t="shared" si="4"/>
        <v>-1</v>
      </c>
      <c r="K25" s="9">
        <f t="shared" si="5"/>
        <v>1</v>
      </c>
      <c r="L25" s="9">
        <f t="shared" si="6"/>
        <v>1</v>
      </c>
      <c r="M25" s="9">
        <f t="shared" si="7"/>
        <v>1</v>
      </c>
      <c r="N25" s="9">
        <f t="shared" si="8"/>
        <v>1</v>
      </c>
      <c r="O25" s="9">
        <f t="shared" si="9"/>
        <v>1</v>
      </c>
      <c r="P25" s="1">
        <v>27.75</v>
      </c>
      <c r="Q25" s="8">
        <v>27.356000000000002</v>
      </c>
      <c r="R25" s="8">
        <v>1.419</v>
      </c>
    </row>
    <row r="26" spans="1:18" x14ac:dyDescent="0.3">
      <c r="A26" s="1">
        <v>25</v>
      </c>
      <c r="B26" s="8">
        <v>-1</v>
      </c>
      <c r="C26" s="8">
        <v>-1</v>
      </c>
      <c r="D26" s="8">
        <v>1</v>
      </c>
      <c r="E26" s="8">
        <v>1</v>
      </c>
      <c r="F26" s="8">
        <f t="shared" si="0"/>
        <v>1</v>
      </c>
      <c r="G26" s="8">
        <f t="shared" si="1"/>
        <v>-1</v>
      </c>
      <c r="H26" s="8">
        <f t="shared" si="2"/>
        <v>-1</v>
      </c>
      <c r="I26" s="8">
        <f t="shared" si="3"/>
        <v>-1</v>
      </c>
      <c r="J26" s="9">
        <f t="shared" si="4"/>
        <v>-1</v>
      </c>
      <c r="K26" s="9">
        <f t="shared" si="5"/>
        <v>1</v>
      </c>
      <c r="L26" s="9">
        <f t="shared" si="6"/>
        <v>1</v>
      </c>
      <c r="M26" s="9">
        <f t="shared" si="7"/>
        <v>1</v>
      </c>
      <c r="N26" s="9">
        <f t="shared" si="8"/>
        <v>1</v>
      </c>
      <c r="O26" s="9">
        <f t="shared" si="9"/>
        <v>1</v>
      </c>
      <c r="P26" s="1">
        <v>17.95</v>
      </c>
      <c r="Q26" s="8">
        <v>17.353999999999999</v>
      </c>
      <c r="R26" s="8">
        <v>3.3170000000000002</v>
      </c>
    </row>
    <row r="27" spans="1:18" x14ac:dyDescent="0.3">
      <c r="A27" s="1">
        <v>26</v>
      </c>
      <c r="B27" s="8">
        <v>-1</v>
      </c>
      <c r="C27" s="8">
        <v>1</v>
      </c>
      <c r="D27" s="8">
        <v>1</v>
      </c>
      <c r="E27" s="8">
        <v>-1</v>
      </c>
      <c r="F27" s="8">
        <f t="shared" si="0"/>
        <v>-1</v>
      </c>
      <c r="G27" s="8">
        <f t="shared" si="1"/>
        <v>-1</v>
      </c>
      <c r="H27" s="8">
        <f t="shared" si="2"/>
        <v>1</v>
      </c>
      <c r="I27" s="8">
        <f t="shared" si="3"/>
        <v>1</v>
      </c>
      <c r="J27" s="9">
        <f t="shared" si="4"/>
        <v>-1</v>
      </c>
      <c r="K27" s="9">
        <f t="shared" si="5"/>
        <v>-1</v>
      </c>
      <c r="L27" s="9">
        <f t="shared" si="6"/>
        <v>1</v>
      </c>
      <c r="M27" s="9">
        <f t="shared" si="7"/>
        <v>1</v>
      </c>
      <c r="N27" s="9">
        <f t="shared" si="8"/>
        <v>1</v>
      </c>
      <c r="O27" s="9">
        <f t="shared" si="9"/>
        <v>1</v>
      </c>
      <c r="P27" s="1">
        <v>7.19</v>
      </c>
      <c r="Q27" s="8">
        <v>6.4219999999999997</v>
      </c>
      <c r="R27" s="8">
        <v>10.673999999999999</v>
      </c>
    </row>
    <row r="28" spans="1:18" x14ac:dyDescent="0.3">
      <c r="A28" s="10">
        <v>27</v>
      </c>
      <c r="B28" s="11">
        <v>0</v>
      </c>
      <c r="C28" s="11">
        <v>0</v>
      </c>
      <c r="D28" s="11">
        <v>0</v>
      </c>
      <c r="E28" s="11">
        <v>0</v>
      </c>
      <c r="F28" s="8">
        <f t="shared" si="0"/>
        <v>0</v>
      </c>
      <c r="G28" s="8">
        <f t="shared" si="1"/>
        <v>0</v>
      </c>
      <c r="H28" s="8">
        <f t="shared" si="2"/>
        <v>0</v>
      </c>
      <c r="I28" s="8">
        <f t="shared" si="3"/>
        <v>0</v>
      </c>
      <c r="J28" s="9">
        <f t="shared" si="4"/>
        <v>0</v>
      </c>
      <c r="K28" s="9">
        <f t="shared" si="5"/>
        <v>0</v>
      </c>
      <c r="L28" s="9">
        <f t="shared" si="6"/>
        <v>0</v>
      </c>
      <c r="M28" s="9">
        <f t="shared" si="7"/>
        <v>0</v>
      </c>
      <c r="N28" s="9">
        <f t="shared" si="8"/>
        <v>0</v>
      </c>
      <c r="O28" s="9">
        <f t="shared" si="9"/>
        <v>0</v>
      </c>
      <c r="P28" s="1">
        <v>22.94</v>
      </c>
      <c r="Q28" s="8">
        <v>25.009</v>
      </c>
      <c r="R28" s="8">
        <v>-9.0220000000000002</v>
      </c>
    </row>
    <row r="29" spans="1:18" x14ac:dyDescent="0.3">
      <c r="A29" s="1">
        <v>28</v>
      </c>
      <c r="B29" s="8">
        <v>1</v>
      </c>
      <c r="C29" s="8">
        <v>-1</v>
      </c>
      <c r="D29" s="8">
        <v>1</v>
      </c>
      <c r="E29" s="8">
        <v>1</v>
      </c>
      <c r="F29" s="8">
        <f t="shared" si="0"/>
        <v>-1</v>
      </c>
      <c r="G29" s="8">
        <f t="shared" si="1"/>
        <v>1</v>
      </c>
      <c r="H29" s="8">
        <f t="shared" si="2"/>
        <v>1</v>
      </c>
      <c r="I29" s="8">
        <f t="shared" si="3"/>
        <v>-1</v>
      </c>
      <c r="J29" s="9">
        <f t="shared" si="4"/>
        <v>-1</v>
      </c>
      <c r="K29" s="9">
        <f t="shared" si="5"/>
        <v>1</v>
      </c>
      <c r="L29" s="9">
        <f t="shared" si="6"/>
        <v>1</v>
      </c>
      <c r="M29" s="9">
        <f t="shared" si="7"/>
        <v>1</v>
      </c>
      <c r="N29" s="9">
        <f t="shared" si="8"/>
        <v>1</v>
      </c>
      <c r="O29" s="9">
        <f t="shared" si="9"/>
        <v>1</v>
      </c>
      <c r="P29" s="1">
        <v>23.35</v>
      </c>
      <c r="Q29" s="8">
        <v>22.064</v>
      </c>
      <c r="R29" s="8">
        <v>5.5069999999999997</v>
      </c>
    </row>
    <row r="30" spans="1:18" x14ac:dyDescent="0.3">
      <c r="A30" s="10">
        <v>29</v>
      </c>
      <c r="B30" s="11">
        <v>0</v>
      </c>
      <c r="C30" s="11">
        <v>0</v>
      </c>
      <c r="D30" s="11">
        <v>0</v>
      </c>
      <c r="E30" s="11">
        <v>0</v>
      </c>
      <c r="F30" s="8">
        <f t="shared" si="0"/>
        <v>0</v>
      </c>
      <c r="G30" s="8">
        <f t="shared" si="1"/>
        <v>0</v>
      </c>
      <c r="H30" s="8">
        <f t="shared" si="2"/>
        <v>0</v>
      </c>
      <c r="I30" s="8">
        <f t="shared" si="3"/>
        <v>0</v>
      </c>
      <c r="J30" s="9">
        <f t="shared" si="4"/>
        <v>0</v>
      </c>
      <c r="K30" s="9">
        <f t="shared" si="5"/>
        <v>0</v>
      </c>
      <c r="L30" s="9">
        <f t="shared" si="6"/>
        <v>0</v>
      </c>
      <c r="M30" s="9">
        <f t="shared" si="7"/>
        <v>0</v>
      </c>
      <c r="N30" s="9">
        <f t="shared" si="8"/>
        <v>0</v>
      </c>
      <c r="O30" s="9">
        <f t="shared" si="9"/>
        <v>0</v>
      </c>
      <c r="P30" s="1">
        <v>24.5</v>
      </c>
      <c r="Q30" s="8">
        <v>25.009</v>
      </c>
      <c r="R30" s="8">
        <v>-2.08</v>
      </c>
    </row>
    <row r="31" spans="1:18" x14ac:dyDescent="0.3">
      <c r="A31" s="1">
        <v>30</v>
      </c>
      <c r="B31" s="8">
        <v>1</v>
      </c>
      <c r="C31" s="8">
        <v>-1</v>
      </c>
      <c r="D31" s="8">
        <v>-1</v>
      </c>
      <c r="E31" s="8">
        <v>1</v>
      </c>
      <c r="F31" s="8">
        <f t="shared" si="0"/>
        <v>-1</v>
      </c>
      <c r="G31" s="8">
        <f t="shared" si="1"/>
        <v>-1</v>
      </c>
      <c r="H31" s="8">
        <f t="shared" si="2"/>
        <v>1</v>
      </c>
      <c r="I31" s="8">
        <f t="shared" si="3"/>
        <v>1</v>
      </c>
      <c r="J31" s="9">
        <f t="shared" si="4"/>
        <v>-1</v>
      </c>
      <c r="K31" s="9">
        <f t="shared" si="5"/>
        <v>-1</v>
      </c>
      <c r="L31" s="9">
        <f t="shared" si="6"/>
        <v>1</v>
      </c>
      <c r="M31" s="9">
        <f t="shared" si="7"/>
        <v>1</v>
      </c>
      <c r="N31" s="9">
        <f t="shared" si="8"/>
        <v>1</v>
      </c>
      <c r="O31" s="9">
        <f t="shared" si="9"/>
        <v>1</v>
      </c>
      <c r="P31" s="5">
        <v>61.92</v>
      </c>
      <c r="Q31" s="8">
        <v>59.548000000000002</v>
      </c>
      <c r="R31" s="8">
        <v>3.8420000000000001</v>
      </c>
    </row>
    <row r="32" spans="1:18" x14ac:dyDescent="0.3">
      <c r="A32" s="1">
        <v>31</v>
      </c>
      <c r="B32" s="8">
        <v>-1</v>
      </c>
      <c r="C32" s="8">
        <v>1</v>
      </c>
      <c r="D32" s="8">
        <v>-1</v>
      </c>
      <c r="E32" s="8">
        <v>1</v>
      </c>
      <c r="F32" s="8">
        <f t="shared" si="0"/>
        <v>-1</v>
      </c>
      <c r="G32" s="8">
        <f t="shared" si="1"/>
        <v>1</v>
      </c>
      <c r="H32" s="8">
        <f t="shared" si="2"/>
        <v>-1</v>
      </c>
      <c r="I32" s="8">
        <f t="shared" si="3"/>
        <v>-1</v>
      </c>
      <c r="J32" s="9">
        <f t="shared" si="4"/>
        <v>1</v>
      </c>
      <c r="K32" s="9">
        <f t="shared" si="5"/>
        <v>-1</v>
      </c>
      <c r="L32" s="9">
        <f t="shared" si="6"/>
        <v>1</v>
      </c>
      <c r="M32" s="9">
        <f t="shared" si="7"/>
        <v>1</v>
      </c>
      <c r="N32" s="9">
        <f t="shared" si="8"/>
        <v>1</v>
      </c>
      <c r="O32" s="9">
        <f t="shared" si="9"/>
        <v>1</v>
      </c>
      <c r="P32" s="1">
        <v>18.39</v>
      </c>
      <c r="Q32" s="8">
        <v>20.463999999999999</v>
      </c>
      <c r="R32" s="8">
        <v>-11.282</v>
      </c>
    </row>
    <row r="33" spans="1:18" x14ac:dyDescent="0.3">
      <c r="A33" s="10">
        <v>32</v>
      </c>
      <c r="B33" s="11">
        <v>0</v>
      </c>
      <c r="C33" s="11">
        <v>0</v>
      </c>
      <c r="D33" s="11">
        <v>0</v>
      </c>
      <c r="E33" s="11">
        <v>0</v>
      </c>
      <c r="F33" s="8">
        <f t="shared" si="0"/>
        <v>0</v>
      </c>
      <c r="G33" s="8">
        <f t="shared" si="1"/>
        <v>0</v>
      </c>
      <c r="H33" s="8">
        <f t="shared" si="2"/>
        <v>0</v>
      </c>
      <c r="I33" s="8">
        <f t="shared" si="3"/>
        <v>0</v>
      </c>
      <c r="J33" s="9">
        <f t="shared" si="4"/>
        <v>0</v>
      </c>
      <c r="K33" s="9">
        <f t="shared" si="5"/>
        <v>0</v>
      </c>
      <c r="L33" s="9">
        <f t="shared" si="6"/>
        <v>0</v>
      </c>
      <c r="M33" s="9">
        <f t="shared" si="7"/>
        <v>0</v>
      </c>
      <c r="N33" s="9">
        <f t="shared" si="8"/>
        <v>0</v>
      </c>
      <c r="O33" s="9">
        <f t="shared" si="9"/>
        <v>0</v>
      </c>
      <c r="P33" s="1">
        <v>27.32</v>
      </c>
      <c r="Q33" s="8">
        <v>25.009</v>
      </c>
      <c r="R33" s="8">
        <v>8.4559999999999995</v>
      </c>
    </row>
    <row r="34" spans="1:18" x14ac:dyDescent="0.3">
      <c r="A34" s="10">
        <v>33</v>
      </c>
      <c r="B34" s="11">
        <v>0</v>
      </c>
      <c r="C34" s="11">
        <v>0</v>
      </c>
      <c r="D34" s="11">
        <v>0</v>
      </c>
      <c r="E34" s="11">
        <v>0</v>
      </c>
      <c r="F34" s="8">
        <f t="shared" si="0"/>
        <v>0</v>
      </c>
      <c r="G34" s="8">
        <f t="shared" si="1"/>
        <v>0</v>
      </c>
      <c r="H34" s="8">
        <f t="shared" si="2"/>
        <v>0</v>
      </c>
      <c r="I34" s="8">
        <f t="shared" si="3"/>
        <v>0</v>
      </c>
      <c r="J34" s="9">
        <f t="shared" si="4"/>
        <v>0</v>
      </c>
      <c r="K34" s="9">
        <f t="shared" si="5"/>
        <v>0</v>
      </c>
      <c r="L34" s="9">
        <f t="shared" si="6"/>
        <v>0</v>
      </c>
      <c r="M34" s="9">
        <f t="shared" si="7"/>
        <v>0</v>
      </c>
      <c r="N34" s="9">
        <f t="shared" si="8"/>
        <v>0</v>
      </c>
      <c r="O34" s="9">
        <f t="shared" si="9"/>
        <v>0</v>
      </c>
      <c r="P34" s="1">
        <v>24.42</v>
      </c>
      <c r="Q34" s="8">
        <v>25.009</v>
      </c>
      <c r="R34" s="8">
        <v>-2.415</v>
      </c>
    </row>
    <row r="35" spans="1:18" x14ac:dyDescent="0.3">
      <c r="A35" s="1">
        <v>34</v>
      </c>
      <c r="B35" s="8">
        <v>-1</v>
      </c>
      <c r="C35" s="8">
        <v>-1</v>
      </c>
      <c r="D35" s="8">
        <v>-1</v>
      </c>
      <c r="E35" s="8">
        <v>-1</v>
      </c>
      <c r="F35" s="8">
        <f t="shared" si="0"/>
        <v>1</v>
      </c>
      <c r="G35" s="8">
        <f t="shared" si="1"/>
        <v>1</v>
      </c>
      <c r="H35" s="8">
        <f t="shared" si="2"/>
        <v>1</v>
      </c>
      <c r="I35" s="8">
        <f t="shared" si="3"/>
        <v>1</v>
      </c>
      <c r="J35" s="9">
        <f t="shared" si="4"/>
        <v>1</v>
      </c>
      <c r="K35" s="9">
        <f t="shared" si="5"/>
        <v>1</v>
      </c>
      <c r="L35" s="9">
        <f t="shared" si="6"/>
        <v>1</v>
      </c>
      <c r="M35" s="9">
        <f t="shared" si="7"/>
        <v>1</v>
      </c>
      <c r="N35" s="9">
        <f t="shared" si="8"/>
        <v>1</v>
      </c>
      <c r="O35" s="9">
        <f t="shared" si="9"/>
        <v>1</v>
      </c>
      <c r="P35" s="1">
        <v>38.76</v>
      </c>
      <c r="Q35" s="8">
        <v>41.375999999999998</v>
      </c>
      <c r="R35" s="8">
        <v>-6.75</v>
      </c>
    </row>
    <row r="36" spans="1:18" x14ac:dyDescent="0.3">
      <c r="A36" s="10">
        <v>35</v>
      </c>
      <c r="B36" s="11">
        <v>0</v>
      </c>
      <c r="C36" s="11">
        <v>0</v>
      </c>
      <c r="D36" s="11">
        <v>0</v>
      </c>
      <c r="E36" s="11">
        <v>0</v>
      </c>
      <c r="F36" s="8">
        <f t="shared" si="0"/>
        <v>0</v>
      </c>
      <c r="G36" s="8">
        <f t="shared" si="1"/>
        <v>0</v>
      </c>
      <c r="H36" s="8">
        <f t="shared" si="2"/>
        <v>0</v>
      </c>
      <c r="I36" s="8">
        <f t="shared" si="3"/>
        <v>0</v>
      </c>
      <c r="J36" s="9">
        <f t="shared" si="4"/>
        <v>0</v>
      </c>
      <c r="K36" s="9">
        <f t="shared" si="5"/>
        <v>0</v>
      </c>
      <c r="L36" s="9">
        <f t="shared" si="6"/>
        <v>0</v>
      </c>
      <c r="M36" s="9">
        <f t="shared" si="7"/>
        <v>0</v>
      </c>
      <c r="N36" s="9">
        <f t="shared" si="8"/>
        <v>0</v>
      </c>
      <c r="O36" s="9">
        <f t="shared" si="9"/>
        <v>0</v>
      </c>
      <c r="P36" s="1">
        <v>31.23</v>
      </c>
      <c r="Q36" s="8">
        <v>25.009</v>
      </c>
      <c r="R36" s="8">
        <v>19.917000000000002</v>
      </c>
    </row>
    <row r="37" spans="1:18" x14ac:dyDescent="0.3">
      <c r="A37" s="1">
        <v>36</v>
      </c>
      <c r="B37" s="8">
        <v>1</v>
      </c>
      <c r="C37" s="8">
        <v>-1</v>
      </c>
      <c r="D37" s="8">
        <v>1</v>
      </c>
      <c r="E37" s="8">
        <v>-1</v>
      </c>
      <c r="F37" s="8">
        <f t="shared" si="0"/>
        <v>-1</v>
      </c>
      <c r="G37" s="8">
        <f t="shared" si="1"/>
        <v>1</v>
      </c>
      <c r="H37" s="8">
        <f t="shared" si="2"/>
        <v>-1</v>
      </c>
      <c r="I37" s="8">
        <f t="shared" si="3"/>
        <v>-1</v>
      </c>
      <c r="J37" s="9">
        <f t="shared" si="4"/>
        <v>1</v>
      </c>
      <c r="K37" s="9">
        <f t="shared" si="5"/>
        <v>-1</v>
      </c>
      <c r="L37" s="9">
        <f t="shared" si="6"/>
        <v>1</v>
      </c>
      <c r="M37" s="9">
        <f t="shared" si="7"/>
        <v>1</v>
      </c>
      <c r="N37" s="9">
        <f t="shared" si="8"/>
        <v>1</v>
      </c>
      <c r="O37" s="9">
        <f t="shared" si="9"/>
        <v>1</v>
      </c>
      <c r="P37" s="1">
        <v>30.21</v>
      </c>
      <c r="Q37" s="8">
        <v>24.988</v>
      </c>
      <c r="R37" s="8">
        <v>17.283999999999999</v>
      </c>
    </row>
    <row r="38" spans="1:18" x14ac:dyDescent="0.3">
      <c r="A38" s="1">
        <v>37</v>
      </c>
      <c r="B38" s="8">
        <v>0</v>
      </c>
      <c r="C38" s="8">
        <v>-2</v>
      </c>
      <c r="D38" s="8">
        <v>0</v>
      </c>
      <c r="E38" s="8">
        <v>0</v>
      </c>
      <c r="F38" s="8">
        <f t="shared" si="0"/>
        <v>0</v>
      </c>
      <c r="G38" s="8">
        <f t="shared" si="1"/>
        <v>0</v>
      </c>
      <c r="H38" s="8">
        <f t="shared" si="2"/>
        <v>0</v>
      </c>
      <c r="I38" s="8">
        <f t="shared" si="3"/>
        <v>0</v>
      </c>
      <c r="J38" s="9">
        <f t="shared" si="4"/>
        <v>0</v>
      </c>
      <c r="K38" s="9">
        <f t="shared" si="5"/>
        <v>0</v>
      </c>
      <c r="L38" s="9">
        <f t="shared" si="6"/>
        <v>0</v>
      </c>
      <c r="M38" s="9">
        <f t="shared" si="7"/>
        <v>4</v>
      </c>
      <c r="N38" s="9">
        <f t="shared" si="8"/>
        <v>0</v>
      </c>
      <c r="O38" s="9">
        <f t="shared" si="9"/>
        <v>0</v>
      </c>
      <c r="P38" s="1">
        <v>33.630000000000003</v>
      </c>
      <c r="Q38" s="8">
        <v>37.920999999999999</v>
      </c>
      <c r="R38" s="8">
        <v>-12.76</v>
      </c>
    </row>
    <row r="39" spans="1:18" x14ac:dyDescent="0.3">
      <c r="A39" s="1">
        <v>38</v>
      </c>
      <c r="B39" s="8">
        <v>2</v>
      </c>
      <c r="C39" s="8">
        <v>0</v>
      </c>
      <c r="D39" s="8">
        <v>0</v>
      </c>
      <c r="E39" s="8">
        <v>0</v>
      </c>
      <c r="F39" s="8">
        <f>B39*C39</f>
        <v>0</v>
      </c>
      <c r="G39" s="8">
        <f t="shared" si="1"/>
        <v>0</v>
      </c>
      <c r="H39" s="8">
        <f t="shared" si="2"/>
        <v>0</v>
      </c>
      <c r="I39" s="8">
        <f t="shared" si="3"/>
        <v>0</v>
      </c>
      <c r="J39" s="9">
        <f t="shared" si="4"/>
        <v>0</v>
      </c>
      <c r="K39" s="9">
        <f t="shared" si="5"/>
        <v>0</v>
      </c>
      <c r="L39" s="9">
        <f t="shared" si="6"/>
        <v>4</v>
      </c>
      <c r="M39" s="9">
        <f t="shared" si="7"/>
        <v>0</v>
      </c>
      <c r="N39" s="9">
        <f t="shared" si="8"/>
        <v>0</v>
      </c>
      <c r="O39" s="9">
        <f t="shared" si="9"/>
        <v>0</v>
      </c>
      <c r="P39" s="1">
        <v>29.3</v>
      </c>
      <c r="Q39" s="8">
        <v>33.838000000000001</v>
      </c>
      <c r="R39" s="8">
        <v>-15.489000000000001</v>
      </c>
    </row>
    <row r="40" spans="1:18" x14ac:dyDescent="0.3">
      <c r="A40" s="1">
        <v>39</v>
      </c>
      <c r="B40" s="8">
        <v>0</v>
      </c>
      <c r="C40" s="8">
        <v>2</v>
      </c>
      <c r="D40" s="8">
        <v>0</v>
      </c>
      <c r="E40" s="8">
        <v>0</v>
      </c>
      <c r="F40" s="8">
        <f t="shared" si="0"/>
        <v>0</v>
      </c>
      <c r="G40" s="8">
        <f t="shared" si="1"/>
        <v>0</v>
      </c>
      <c r="H40" s="8">
        <f t="shared" si="2"/>
        <v>0</v>
      </c>
      <c r="I40" s="8">
        <f t="shared" si="3"/>
        <v>0</v>
      </c>
      <c r="J40" s="9">
        <f t="shared" si="4"/>
        <v>0</v>
      </c>
      <c r="K40" s="9">
        <f t="shared" si="5"/>
        <v>0</v>
      </c>
      <c r="L40" s="9">
        <f t="shared" si="6"/>
        <v>0</v>
      </c>
      <c r="M40" s="9">
        <f t="shared" si="7"/>
        <v>4</v>
      </c>
      <c r="N40" s="9">
        <f t="shared" si="8"/>
        <v>0</v>
      </c>
      <c r="O40" s="9">
        <f t="shared" si="9"/>
        <v>0</v>
      </c>
      <c r="P40" s="1">
        <v>9.66</v>
      </c>
      <c r="Q40" s="8">
        <v>7.7830000000000004</v>
      </c>
      <c r="R40" s="8">
        <v>19.422999999999998</v>
      </c>
    </row>
    <row r="41" spans="1:18" x14ac:dyDescent="0.3">
      <c r="A41" s="1">
        <v>40</v>
      </c>
      <c r="B41" s="8">
        <v>0</v>
      </c>
      <c r="C41" s="8">
        <v>0</v>
      </c>
      <c r="D41" s="8">
        <v>-2</v>
      </c>
      <c r="E41" s="8">
        <v>0</v>
      </c>
      <c r="F41" s="8">
        <f t="shared" si="0"/>
        <v>0</v>
      </c>
      <c r="G41" s="8">
        <f t="shared" si="1"/>
        <v>0</v>
      </c>
      <c r="H41" s="8">
        <f t="shared" si="2"/>
        <v>0</v>
      </c>
      <c r="I41" s="8">
        <f t="shared" si="3"/>
        <v>0</v>
      </c>
      <c r="J41" s="9">
        <f t="shared" si="4"/>
        <v>0</v>
      </c>
      <c r="K41" s="9">
        <f t="shared" si="5"/>
        <v>0</v>
      </c>
      <c r="L41" s="9">
        <f t="shared" si="6"/>
        <v>0</v>
      </c>
      <c r="M41" s="9">
        <f t="shared" si="7"/>
        <v>0</v>
      </c>
      <c r="N41" s="9">
        <f t="shared" si="8"/>
        <v>4</v>
      </c>
      <c r="O41" s="9">
        <f t="shared" si="9"/>
        <v>0</v>
      </c>
      <c r="P41" s="1">
        <v>81.19</v>
      </c>
      <c r="Q41" s="8">
        <v>76.891000000000005</v>
      </c>
      <c r="R41" s="8">
        <v>5.2939999999999996</v>
      </c>
    </row>
    <row r="42" spans="1:18" x14ac:dyDescent="0.3">
      <c r="A42" s="1">
        <v>41</v>
      </c>
      <c r="B42" s="8">
        <v>-2</v>
      </c>
      <c r="C42" s="8">
        <v>0</v>
      </c>
      <c r="D42" s="8">
        <v>0</v>
      </c>
      <c r="E42" s="8">
        <v>0</v>
      </c>
      <c r="F42" s="8">
        <f t="shared" si="0"/>
        <v>0</v>
      </c>
      <c r="G42" s="8">
        <f t="shared" si="1"/>
        <v>0</v>
      </c>
      <c r="H42" s="8">
        <f t="shared" si="2"/>
        <v>0</v>
      </c>
      <c r="I42" s="8">
        <f t="shared" si="3"/>
        <v>0</v>
      </c>
      <c r="J42" s="9">
        <f t="shared" si="4"/>
        <v>0</v>
      </c>
      <c r="K42" s="9">
        <f t="shared" si="5"/>
        <v>0</v>
      </c>
      <c r="L42" s="9">
        <f t="shared" si="6"/>
        <v>4</v>
      </c>
      <c r="M42" s="9">
        <f t="shared" si="7"/>
        <v>0</v>
      </c>
      <c r="N42" s="9">
        <f t="shared" si="8"/>
        <v>0</v>
      </c>
      <c r="O42" s="9">
        <f t="shared" si="9"/>
        <v>0</v>
      </c>
      <c r="P42" s="1">
        <v>8.4499999999999993</v>
      </c>
      <c r="Q42" s="8">
        <v>6.3259999999999996</v>
      </c>
      <c r="R42" s="8">
        <v>25.129000000000001</v>
      </c>
    </row>
    <row r="43" spans="1:18" x14ac:dyDescent="0.3">
      <c r="A43" s="1">
        <v>42</v>
      </c>
      <c r="B43" s="8">
        <v>0</v>
      </c>
      <c r="C43" s="8">
        <v>0</v>
      </c>
      <c r="D43" s="8">
        <v>2</v>
      </c>
      <c r="E43" s="8">
        <v>0</v>
      </c>
      <c r="F43" s="8">
        <f t="shared" si="0"/>
        <v>0</v>
      </c>
      <c r="G43" s="8">
        <f t="shared" si="1"/>
        <v>0</v>
      </c>
      <c r="H43" s="8">
        <f t="shared" si="2"/>
        <v>0</v>
      </c>
      <c r="I43" s="8">
        <f t="shared" si="3"/>
        <v>0</v>
      </c>
      <c r="J43" s="9">
        <f t="shared" si="4"/>
        <v>0</v>
      </c>
      <c r="K43" s="9">
        <f t="shared" si="5"/>
        <v>0</v>
      </c>
      <c r="L43" s="9">
        <f t="shared" si="6"/>
        <v>0</v>
      </c>
      <c r="M43" s="9">
        <f t="shared" si="7"/>
        <v>0</v>
      </c>
      <c r="N43" s="9">
        <f t="shared" si="8"/>
        <v>4</v>
      </c>
      <c r="O43" s="9">
        <f t="shared" si="9"/>
        <v>0</v>
      </c>
      <c r="P43" s="1">
        <v>11.76</v>
      </c>
      <c r="Q43" s="8">
        <v>18.472999999999999</v>
      </c>
      <c r="R43" s="8">
        <v>-57.087000000000003</v>
      </c>
    </row>
    <row r="44" spans="1:18" x14ac:dyDescent="0.3">
      <c r="A44" s="1">
        <v>43</v>
      </c>
      <c r="B44" s="8">
        <v>0</v>
      </c>
      <c r="C44" s="8">
        <v>0</v>
      </c>
      <c r="D44" s="8">
        <v>0</v>
      </c>
      <c r="E44" s="8">
        <v>-2</v>
      </c>
      <c r="F44" s="8">
        <f t="shared" si="0"/>
        <v>0</v>
      </c>
      <c r="G44" s="8">
        <f t="shared" si="1"/>
        <v>0</v>
      </c>
      <c r="H44" s="8">
        <f t="shared" si="2"/>
        <v>0</v>
      </c>
      <c r="I44" s="8">
        <f t="shared" si="3"/>
        <v>0</v>
      </c>
      <c r="J44" s="9">
        <f t="shared" si="4"/>
        <v>0</v>
      </c>
      <c r="K44" s="9">
        <f t="shared" si="5"/>
        <v>0</v>
      </c>
      <c r="L44" s="9">
        <f t="shared" si="6"/>
        <v>0</v>
      </c>
      <c r="M44" s="9">
        <f t="shared" si="7"/>
        <v>0</v>
      </c>
      <c r="N44" s="9">
        <f t="shared" si="8"/>
        <v>0</v>
      </c>
      <c r="O44" s="9">
        <f t="shared" si="9"/>
        <v>4</v>
      </c>
      <c r="P44" s="1">
        <v>22.85</v>
      </c>
      <c r="Q44" s="8">
        <v>27.42</v>
      </c>
      <c r="R44" s="8">
        <v>-20.001000000000001</v>
      </c>
    </row>
    <row r="45" spans="1:18" x14ac:dyDescent="0.3">
      <c r="A45" s="1">
        <v>44</v>
      </c>
      <c r="B45" s="8">
        <v>0</v>
      </c>
      <c r="C45" s="8">
        <v>0</v>
      </c>
      <c r="D45" s="8">
        <v>0</v>
      </c>
      <c r="E45" s="8">
        <v>2</v>
      </c>
      <c r="F45" s="8">
        <f t="shared" si="0"/>
        <v>0</v>
      </c>
      <c r="G45" s="8">
        <f t="shared" si="1"/>
        <v>0</v>
      </c>
      <c r="H45" s="8">
        <f t="shared" si="2"/>
        <v>0</v>
      </c>
      <c r="I45" s="8">
        <f t="shared" si="3"/>
        <v>0</v>
      </c>
      <c r="J45" s="9">
        <f t="shared" si="4"/>
        <v>0</v>
      </c>
      <c r="K45" s="9">
        <f t="shared" si="5"/>
        <v>0</v>
      </c>
      <c r="L45" s="9">
        <f t="shared" si="6"/>
        <v>0</v>
      </c>
      <c r="M45" s="9">
        <f t="shared" si="7"/>
        <v>0</v>
      </c>
      <c r="N45" s="9">
        <f t="shared" si="8"/>
        <v>0</v>
      </c>
      <c r="O45" s="9">
        <f t="shared" si="9"/>
        <v>4</v>
      </c>
      <c r="P45" s="1">
        <v>19.760000000000002</v>
      </c>
      <c r="Q45" s="8">
        <v>17.603999999999999</v>
      </c>
      <c r="R45" s="8">
        <v>10.907</v>
      </c>
    </row>
    <row r="48" spans="1:18" x14ac:dyDescent="0.3">
      <c r="C48" s="4"/>
      <c r="D48" s="4"/>
      <c r="E48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7237-B2E7-49EB-8E3A-95F8F15AA696}">
  <dimension ref="C4:K48"/>
  <sheetViews>
    <sheetView tabSelected="1" workbookViewId="0">
      <selection activeCell="R13" sqref="R13"/>
    </sheetView>
  </sheetViews>
  <sheetFormatPr defaultRowHeight="14.4" x14ac:dyDescent="0.3"/>
  <cols>
    <col min="7" max="7" width="10.109375" customWidth="1"/>
  </cols>
  <sheetData>
    <row r="4" spans="3:11" ht="40.799999999999997" customHeight="1" x14ac:dyDescent="0.3">
      <c r="C4" s="7" t="s">
        <v>0</v>
      </c>
      <c r="D4" s="7" t="s">
        <v>7</v>
      </c>
      <c r="E4" s="7" t="s">
        <v>1</v>
      </c>
      <c r="F4" s="7" t="s">
        <v>2</v>
      </c>
      <c r="G4" s="7" t="s">
        <v>3</v>
      </c>
      <c r="H4" s="7" t="s">
        <v>4</v>
      </c>
      <c r="I4" s="7" t="s">
        <v>5</v>
      </c>
      <c r="J4" s="7" t="s">
        <v>6</v>
      </c>
      <c r="K4" s="6"/>
    </row>
    <row r="5" spans="3:11" x14ac:dyDescent="0.3">
      <c r="C5" s="1">
        <v>1</v>
      </c>
      <c r="D5" s="1">
        <v>46.25</v>
      </c>
      <c r="E5" s="1">
        <v>750</v>
      </c>
      <c r="F5" s="1">
        <v>4.5</v>
      </c>
      <c r="G5" s="1">
        <v>4</v>
      </c>
      <c r="H5" s="1">
        <v>72.67</v>
      </c>
      <c r="I5" s="5">
        <v>70315</v>
      </c>
      <c r="J5" s="5">
        <v>3239</v>
      </c>
    </row>
    <row r="6" spans="3:11" x14ac:dyDescent="0.3">
      <c r="C6" s="1">
        <v>2</v>
      </c>
      <c r="D6" s="1">
        <v>46.25</v>
      </c>
      <c r="E6" s="1">
        <v>1250</v>
      </c>
      <c r="F6" s="1">
        <v>7.5</v>
      </c>
      <c r="G6" s="1">
        <v>8</v>
      </c>
      <c r="H6" s="1">
        <v>11.71</v>
      </c>
      <c r="I6" s="5">
        <v>5946</v>
      </c>
      <c r="J6" s="5">
        <v>49216</v>
      </c>
    </row>
    <row r="7" spans="3:11" x14ac:dyDescent="0.3">
      <c r="C7" s="1">
        <v>3</v>
      </c>
      <c r="D7" s="1">
        <v>32.5</v>
      </c>
      <c r="E7" s="1">
        <v>1000</v>
      </c>
      <c r="F7" s="1">
        <v>6</v>
      </c>
      <c r="G7" s="1">
        <v>6</v>
      </c>
      <c r="H7" s="1">
        <v>26.01</v>
      </c>
      <c r="I7" s="5">
        <v>25009</v>
      </c>
      <c r="J7" s="5">
        <v>3845</v>
      </c>
    </row>
    <row r="8" spans="3:11" x14ac:dyDescent="0.3">
      <c r="C8" s="1">
        <v>4</v>
      </c>
      <c r="D8" s="1">
        <v>32.5</v>
      </c>
      <c r="E8" s="1">
        <v>1000</v>
      </c>
      <c r="F8" s="1">
        <v>6</v>
      </c>
      <c r="G8" s="1">
        <v>6</v>
      </c>
      <c r="H8" s="1">
        <v>25.58</v>
      </c>
      <c r="I8" s="5">
        <v>25009</v>
      </c>
      <c r="J8" s="5">
        <v>2229</v>
      </c>
    </row>
    <row r="9" spans="3:11" x14ac:dyDescent="0.3">
      <c r="C9" s="1">
        <v>5</v>
      </c>
      <c r="D9" s="1">
        <v>32.5</v>
      </c>
      <c r="E9" s="1">
        <v>1000</v>
      </c>
      <c r="F9" s="1">
        <v>6</v>
      </c>
      <c r="G9" s="1">
        <v>6</v>
      </c>
      <c r="H9" s="1">
        <v>22.42</v>
      </c>
      <c r="I9" s="5">
        <v>25009</v>
      </c>
      <c r="J9" s="5">
        <v>-11551</v>
      </c>
    </row>
    <row r="10" spans="3:11" x14ac:dyDescent="0.3">
      <c r="C10" s="1">
        <v>6</v>
      </c>
      <c r="D10" s="1">
        <v>32.5</v>
      </c>
      <c r="E10" s="1">
        <v>1000</v>
      </c>
      <c r="F10" s="1">
        <v>6</v>
      </c>
      <c r="G10" s="1">
        <v>6</v>
      </c>
      <c r="H10" s="1">
        <v>28.31</v>
      </c>
      <c r="I10" s="5">
        <v>25009</v>
      </c>
      <c r="J10" s="5">
        <v>11657</v>
      </c>
    </row>
    <row r="11" spans="3:11" x14ac:dyDescent="0.3">
      <c r="C11" s="1">
        <v>7</v>
      </c>
      <c r="D11" s="1">
        <v>32.5</v>
      </c>
      <c r="E11" s="1">
        <v>1000</v>
      </c>
      <c r="F11" s="1">
        <v>6</v>
      </c>
      <c r="G11" s="1">
        <v>6</v>
      </c>
      <c r="H11" s="1">
        <v>34.83</v>
      </c>
      <c r="I11" s="5">
        <v>25009</v>
      </c>
      <c r="J11" s="5">
        <v>28194</v>
      </c>
    </row>
    <row r="12" spans="3:11" x14ac:dyDescent="0.3">
      <c r="C12" s="1">
        <v>8</v>
      </c>
      <c r="D12" s="1">
        <v>32.5</v>
      </c>
      <c r="E12" s="1">
        <v>1000</v>
      </c>
      <c r="F12" s="1">
        <v>6</v>
      </c>
      <c r="G12" s="1">
        <v>6</v>
      </c>
      <c r="H12" s="1">
        <v>32.369999999999997</v>
      </c>
      <c r="I12" s="5">
        <v>25009</v>
      </c>
      <c r="J12" s="5">
        <v>22737</v>
      </c>
    </row>
    <row r="13" spans="3:11" x14ac:dyDescent="0.3">
      <c r="C13" s="1">
        <v>9</v>
      </c>
      <c r="D13" s="1">
        <v>32.5</v>
      </c>
      <c r="E13" s="1">
        <v>1000</v>
      </c>
      <c r="F13" s="1">
        <v>6</v>
      </c>
      <c r="G13" s="1">
        <v>6</v>
      </c>
      <c r="H13" s="1">
        <v>24.12</v>
      </c>
      <c r="I13" s="5">
        <v>25009</v>
      </c>
      <c r="J13" s="5">
        <v>-3689</v>
      </c>
    </row>
    <row r="14" spans="3:11" x14ac:dyDescent="0.3">
      <c r="C14" s="1">
        <v>10</v>
      </c>
      <c r="D14" s="1">
        <v>32.5</v>
      </c>
      <c r="E14" s="1">
        <v>1000</v>
      </c>
      <c r="F14" s="1">
        <v>6</v>
      </c>
      <c r="G14" s="1">
        <v>6</v>
      </c>
      <c r="H14" s="1">
        <v>22.46</v>
      </c>
      <c r="I14" s="5">
        <v>25009</v>
      </c>
      <c r="J14" s="5">
        <v>-11352</v>
      </c>
    </row>
    <row r="15" spans="3:11" x14ac:dyDescent="0.3">
      <c r="C15" s="1">
        <v>11</v>
      </c>
      <c r="D15" s="1">
        <v>18.75</v>
      </c>
      <c r="E15" s="1">
        <v>750</v>
      </c>
      <c r="F15" s="1">
        <v>7.5</v>
      </c>
      <c r="G15" s="1">
        <v>4</v>
      </c>
      <c r="H15" s="1">
        <v>17.2</v>
      </c>
      <c r="I15" s="5">
        <v>10885</v>
      </c>
      <c r="J15" s="5">
        <v>36710</v>
      </c>
    </row>
    <row r="16" spans="3:11" x14ac:dyDescent="0.3">
      <c r="C16" s="1">
        <v>12</v>
      </c>
      <c r="D16" s="1">
        <v>18.75</v>
      </c>
      <c r="E16" s="1">
        <v>750</v>
      </c>
      <c r="F16" s="1">
        <v>4.5</v>
      </c>
      <c r="G16" s="1">
        <v>8</v>
      </c>
      <c r="H16" s="1">
        <v>40.29</v>
      </c>
      <c r="I16" s="5">
        <v>40002</v>
      </c>
      <c r="J16" s="1">
        <v>0.71399999999999997</v>
      </c>
    </row>
    <row r="17" spans="3:10" x14ac:dyDescent="0.3">
      <c r="C17" s="1">
        <v>13</v>
      </c>
      <c r="D17" s="1">
        <v>32.5</v>
      </c>
      <c r="E17" s="1">
        <v>1000</v>
      </c>
      <c r="F17" s="1">
        <v>6</v>
      </c>
      <c r="G17" s="1">
        <v>6</v>
      </c>
      <c r="H17" s="1">
        <v>25.36</v>
      </c>
      <c r="I17" s="5">
        <v>25009</v>
      </c>
      <c r="J17" s="5">
        <v>1380</v>
      </c>
    </row>
    <row r="18" spans="3:10" x14ac:dyDescent="0.3">
      <c r="C18" s="1">
        <v>14</v>
      </c>
      <c r="D18" s="1">
        <v>46.25</v>
      </c>
      <c r="E18" s="1">
        <v>1250</v>
      </c>
      <c r="F18" s="1">
        <v>4.5</v>
      </c>
      <c r="G18" s="1">
        <v>4</v>
      </c>
      <c r="H18" s="1">
        <v>52.71</v>
      </c>
      <c r="I18" s="5">
        <v>50158</v>
      </c>
      <c r="J18" s="5">
        <v>4840</v>
      </c>
    </row>
    <row r="19" spans="3:10" x14ac:dyDescent="0.3">
      <c r="C19" s="1">
        <v>15</v>
      </c>
      <c r="D19" s="1">
        <v>32.5</v>
      </c>
      <c r="E19" s="1">
        <v>1000</v>
      </c>
      <c r="F19" s="1">
        <v>6</v>
      </c>
      <c r="G19" s="1">
        <v>6</v>
      </c>
      <c r="H19" s="1">
        <v>25.95</v>
      </c>
      <c r="I19" s="5">
        <v>25009</v>
      </c>
      <c r="J19" s="5">
        <v>3623</v>
      </c>
    </row>
    <row r="20" spans="3:10" x14ac:dyDescent="0.3">
      <c r="C20" s="1">
        <v>16</v>
      </c>
      <c r="D20" s="1">
        <v>18.75</v>
      </c>
      <c r="E20" s="1">
        <v>1250</v>
      </c>
      <c r="F20" s="1">
        <v>7.5</v>
      </c>
      <c r="G20" s="1">
        <v>8</v>
      </c>
      <c r="H20" s="1">
        <v>6.7</v>
      </c>
      <c r="I20" s="5">
        <v>73741</v>
      </c>
      <c r="J20" s="5">
        <v>-10061</v>
      </c>
    </row>
    <row r="21" spans="3:10" x14ac:dyDescent="0.3">
      <c r="C21" s="1">
        <v>17</v>
      </c>
      <c r="D21" s="1">
        <v>32.5</v>
      </c>
      <c r="E21" s="1">
        <v>1000</v>
      </c>
      <c r="F21" s="1">
        <v>6</v>
      </c>
      <c r="G21" s="1">
        <v>6</v>
      </c>
      <c r="H21" s="1">
        <v>23.47</v>
      </c>
      <c r="I21" s="5">
        <v>25009</v>
      </c>
      <c r="J21" s="5">
        <v>-6560</v>
      </c>
    </row>
    <row r="22" spans="3:10" x14ac:dyDescent="0.3">
      <c r="C22" s="1">
        <v>18</v>
      </c>
      <c r="D22" s="1">
        <v>32.5</v>
      </c>
      <c r="E22" s="1">
        <v>1000</v>
      </c>
      <c r="F22" s="1">
        <v>6</v>
      </c>
      <c r="G22" s="1">
        <v>6</v>
      </c>
      <c r="H22" s="1">
        <v>25.26</v>
      </c>
      <c r="I22" s="5">
        <v>25009</v>
      </c>
      <c r="J22" s="1">
        <v>0.99</v>
      </c>
    </row>
    <row r="23" spans="3:10" x14ac:dyDescent="0.3">
      <c r="C23" s="1">
        <v>19</v>
      </c>
      <c r="D23" s="1">
        <v>32.5</v>
      </c>
      <c r="E23" s="1">
        <v>1000</v>
      </c>
      <c r="F23" s="1">
        <v>6</v>
      </c>
      <c r="G23" s="1">
        <v>6</v>
      </c>
      <c r="H23" s="1">
        <v>25.93</v>
      </c>
      <c r="I23" s="5">
        <v>25009</v>
      </c>
      <c r="J23" s="5">
        <v>3548</v>
      </c>
    </row>
    <row r="24" spans="3:10" x14ac:dyDescent="0.3">
      <c r="C24" s="1">
        <v>20</v>
      </c>
      <c r="D24" s="1">
        <v>46.25</v>
      </c>
      <c r="E24" s="1">
        <v>1250</v>
      </c>
      <c r="F24" s="1">
        <v>7.5</v>
      </c>
      <c r="G24" s="1">
        <v>4</v>
      </c>
      <c r="H24" s="1">
        <v>15.78</v>
      </c>
      <c r="I24" s="5">
        <v>14388</v>
      </c>
      <c r="J24" s="5">
        <v>8820</v>
      </c>
    </row>
    <row r="25" spans="3:10" x14ac:dyDescent="0.3">
      <c r="C25" s="1">
        <v>21</v>
      </c>
      <c r="D25" s="1">
        <v>32.5</v>
      </c>
      <c r="E25" s="1">
        <v>1000</v>
      </c>
      <c r="F25" s="1">
        <v>6</v>
      </c>
      <c r="G25" s="1">
        <v>6</v>
      </c>
      <c r="H25" s="1">
        <v>27.51</v>
      </c>
      <c r="I25" s="5">
        <v>25009</v>
      </c>
      <c r="J25" s="5">
        <v>9088</v>
      </c>
    </row>
    <row r="26" spans="3:10" x14ac:dyDescent="0.3">
      <c r="C26" s="1">
        <v>22</v>
      </c>
      <c r="D26" s="1">
        <v>32.5</v>
      </c>
      <c r="E26" s="1">
        <v>1000</v>
      </c>
      <c r="F26" s="1">
        <v>6</v>
      </c>
      <c r="G26" s="1">
        <v>6</v>
      </c>
      <c r="H26" s="1">
        <v>24.34</v>
      </c>
      <c r="I26" s="5">
        <v>25009</v>
      </c>
      <c r="J26" s="5">
        <v>-2751</v>
      </c>
    </row>
    <row r="27" spans="3:10" x14ac:dyDescent="0.3">
      <c r="C27" s="1">
        <v>23</v>
      </c>
      <c r="D27" s="1">
        <v>46.25</v>
      </c>
      <c r="E27" s="1">
        <v>1250</v>
      </c>
      <c r="F27" s="1">
        <v>4.5</v>
      </c>
      <c r="G27" s="1">
        <v>8</v>
      </c>
      <c r="H27" s="1">
        <v>29.24</v>
      </c>
      <c r="I27" s="5">
        <v>33874</v>
      </c>
      <c r="J27" s="5">
        <v>-15848</v>
      </c>
    </row>
    <row r="28" spans="3:10" x14ac:dyDescent="0.3">
      <c r="C28" s="1">
        <v>24</v>
      </c>
      <c r="D28" s="1">
        <v>18.75</v>
      </c>
      <c r="E28" s="1">
        <v>1250</v>
      </c>
      <c r="F28" s="1">
        <v>4.5</v>
      </c>
      <c r="G28" s="1">
        <v>4</v>
      </c>
      <c r="H28" s="1">
        <v>27.75</v>
      </c>
      <c r="I28" s="5">
        <v>27356</v>
      </c>
      <c r="J28" s="5">
        <v>1419</v>
      </c>
    </row>
    <row r="29" spans="3:10" x14ac:dyDescent="0.3">
      <c r="C29" s="1">
        <v>25</v>
      </c>
      <c r="D29" s="1">
        <v>18.75</v>
      </c>
      <c r="E29" s="1">
        <v>750</v>
      </c>
      <c r="F29" s="1">
        <v>7.5</v>
      </c>
      <c r="G29" s="1">
        <v>8</v>
      </c>
      <c r="H29" s="1">
        <v>17.95</v>
      </c>
      <c r="I29" s="5">
        <v>17354</v>
      </c>
      <c r="J29" s="5">
        <v>3317</v>
      </c>
    </row>
    <row r="30" spans="3:10" x14ac:dyDescent="0.3">
      <c r="C30" s="1">
        <v>26</v>
      </c>
      <c r="D30" s="1">
        <v>18.75</v>
      </c>
      <c r="E30" s="1">
        <v>1250</v>
      </c>
      <c r="F30" s="1">
        <v>7.5</v>
      </c>
      <c r="G30" s="1">
        <v>4</v>
      </c>
      <c r="H30" s="1">
        <v>7.19</v>
      </c>
      <c r="I30" s="5">
        <v>6422</v>
      </c>
      <c r="J30" s="5">
        <v>10674</v>
      </c>
    </row>
    <row r="31" spans="3:10" x14ac:dyDescent="0.3">
      <c r="C31" s="1">
        <v>27</v>
      </c>
      <c r="D31" s="1">
        <v>32.5</v>
      </c>
      <c r="E31" s="1">
        <v>1000</v>
      </c>
      <c r="F31" s="1">
        <v>6</v>
      </c>
      <c r="G31" s="1">
        <v>6</v>
      </c>
      <c r="H31" s="1">
        <v>22.94</v>
      </c>
      <c r="I31" s="5">
        <v>25009</v>
      </c>
      <c r="J31" s="5">
        <v>-9022</v>
      </c>
    </row>
    <row r="32" spans="3:10" x14ac:dyDescent="0.3">
      <c r="C32" s="1">
        <v>28</v>
      </c>
      <c r="D32" s="1">
        <v>46.25</v>
      </c>
      <c r="E32" s="1">
        <v>750</v>
      </c>
      <c r="F32" s="1">
        <v>7.5</v>
      </c>
      <c r="G32" s="1">
        <v>8</v>
      </c>
      <c r="H32" s="1">
        <v>23.35</v>
      </c>
      <c r="I32" s="5">
        <v>22064</v>
      </c>
      <c r="J32" s="5">
        <v>5507</v>
      </c>
    </row>
    <row r="33" spans="3:10" x14ac:dyDescent="0.3">
      <c r="C33" s="1">
        <v>29</v>
      </c>
      <c r="D33" s="1">
        <v>32.5</v>
      </c>
      <c r="E33" s="1">
        <v>1000</v>
      </c>
      <c r="F33" s="1">
        <v>6</v>
      </c>
      <c r="G33" s="1">
        <v>6</v>
      </c>
      <c r="H33" s="1">
        <v>24.5</v>
      </c>
      <c r="I33" s="5">
        <v>25009</v>
      </c>
      <c r="J33" s="5">
        <v>-2080</v>
      </c>
    </row>
    <row r="34" spans="3:10" x14ac:dyDescent="0.3">
      <c r="C34" s="1">
        <v>30</v>
      </c>
      <c r="D34" s="1">
        <v>46.25</v>
      </c>
      <c r="E34" s="1">
        <v>750</v>
      </c>
      <c r="F34" s="1">
        <v>4.5</v>
      </c>
      <c r="G34" s="1">
        <v>8</v>
      </c>
      <c r="H34" s="5">
        <v>61928</v>
      </c>
      <c r="I34" s="5">
        <v>59548</v>
      </c>
      <c r="J34" s="5">
        <v>3842</v>
      </c>
    </row>
    <row r="35" spans="3:10" x14ac:dyDescent="0.3">
      <c r="C35" s="1">
        <v>31</v>
      </c>
      <c r="D35" s="1">
        <v>18.75</v>
      </c>
      <c r="E35" s="1">
        <v>1250</v>
      </c>
      <c r="F35" s="1">
        <v>4.5</v>
      </c>
      <c r="G35" s="1">
        <v>8</v>
      </c>
      <c r="H35" s="1">
        <v>18.39</v>
      </c>
      <c r="I35" s="5">
        <v>20464</v>
      </c>
      <c r="J35" s="5">
        <v>-11282</v>
      </c>
    </row>
    <row r="36" spans="3:10" x14ac:dyDescent="0.3">
      <c r="C36" s="1">
        <v>32</v>
      </c>
      <c r="D36" s="1">
        <v>32.5</v>
      </c>
      <c r="E36" s="1">
        <v>1000</v>
      </c>
      <c r="F36" s="1">
        <v>6</v>
      </c>
      <c r="G36" s="1">
        <v>6</v>
      </c>
      <c r="H36" s="1">
        <v>27.32</v>
      </c>
      <c r="I36" s="5">
        <v>25009</v>
      </c>
      <c r="J36" s="5">
        <v>8456</v>
      </c>
    </row>
    <row r="37" spans="3:10" x14ac:dyDescent="0.3">
      <c r="C37" s="1">
        <v>33</v>
      </c>
      <c r="D37" s="1">
        <v>32.5</v>
      </c>
      <c r="E37" s="1">
        <v>1000</v>
      </c>
      <c r="F37" s="1">
        <v>6</v>
      </c>
      <c r="G37" s="1">
        <v>6</v>
      </c>
      <c r="H37" s="1">
        <v>24.42</v>
      </c>
      <c r="I37" s="5">
        <v>25009</v>
      </c>
      <c r="J37" s="5">
        <v>-2415</v>
      </c>
    </row>
    <row r="38" spans="3:10" x14ac:dyDescent="0.3">
      <c r="C38" s="1">
        <v>34</v>
      </c>
      <c r="D38" s="1">
        <v>18.75</v>
      </c>
      <c r="E38" s="1">
        <v>750</v>
      </c>
      <c r="F38" s="1">
        <v>4.5</v>
      </c>
      <c r="G38" s="1">
        <v>4</v>
      </c>
      <c r="H38" s="1">
        <v>38.76</v>
      </c>
      <c r="I38" s="5">
        <v>41376</v>
      </c>
      <c r="J38" s="5">
        <v>-6750</v>
      </c>
    </row>
    <row r="39" spans="3:10" x14ac:dyDescent="0.3">
      <c r="C39" s="1">
        <v>35</v>
      </c>
      <c r="D39" s="1">
        <v>32.5</v>
      </c>
      <c r="E39" s="1">
        <v>1000</v>
      </c>
      <c r="F39" s="1">
        <v>6</v>
      </c>
      <c r="G39" s="1">
        <v>6</v>
      </c>
      <c r="H39" s="1">
        <v>31.23</v>
      </c>
      <c r="I39" s="5">
        <v>25009</v>
      </c>
      <c r="J39" s="5">
        <v>19917</v>
      </c>
    </row>
    <row r="40" spans="3:10" x14ac:dyDescent="0.3">
      <c r="C40" s="1">
        <v>36</v>
      </c>
      <c r="D40" s="1">
        <v>46.25</v>
      </c>
      <c r="E40" s="1">
        <v>750</v>
      </c>
      <c r="F40" s="1">
        <v>7.5</v>
      </c>
      <c r="G40" s="1">
        <v>4</v>
      </c>
      <c r="H40" s="1">
        <v>30.21</v>
      </c>
      <c r="I40" s="5">
        <v>24988</v>
      </c>
      <c r="J40" s="5">
        <v>17284</v>
      </c>
    </row>
    <row r="41" spans="3:10" x14ac:dyDescent="0.3">
      <c r="C41" s="1">
        <v>37</v>
      </c>
      <c r="D41" s="1">
        <v>32.5</v>
      </c>
      <c r="E41" s="1">
        <v>500</v>
      </c>
      <c r="F41" s="1">
        <v>6</v>
      </c>
      <c r="G41" s="1">
        <v>6</v>
      </c>
      <c r="H41" s="1">
        <v>33.630000000000003</v>
      </c>
      <c r="I41" s="5">
        <v>37921</v>
      </c>
      <c r="J41" s="5">
        <v>-12760</v>
      </c>
    </row>
    <row r="42" spans="3:10" x14ac:dyDescent="0.3">
      <c r="C42" s="1">
        <v>38</v>
      </c>
      <c r="D42" s="1">
        <v>60</v>
      </c>
      <c r="E42" s="1">
        <v>1000</v>
      </c>
      <c r="F42" s="1">
        <v>6</v>
      </c>
      <c r="G42" s="1">
        <v>6</v>
      </c>
      <c r="H42" s="1">
        <v>29.3</v>
      </c>
      <c r="I42" s="5">
        <v>33838</v>
      </c>
      <c r="J42" s="5">
        <v>-15489</v>
      </c>
    </row>
    <row r="43" spans="3:10" x14ac:dyDescent="0.3">
      <c r="C43" s="1">
        <v>39</v>
      </c>
      <c r="D43" s="1">
        <v>32.5</v>
      </c>
      <c r="E43" s="1">
        <v>1500</v>
      </c>
      <c r="F43" s="1">
        <v>6</v>
      </c>
      <c r="G43" s="1">
        <v>6</v>
      </c>
      <c r="H43" s="1">
        <v>9.66</v>
      </c>
      <c r="I43" s="5">
        <v>7783</v>
      </c>
      <c r="J43" s="5">
        <v>19423</v>
      </c>
    </row>
    <row r="44" spans="3:10" x14ac:dyDescent="0.3">
      <c r="C44" s="1">
        <v>40</v>
      </c>
      <c r="D44" s="1">
        <v>32.5</v>
      </c>
      <c r="E44" s="1">
        <v>1000</v>
      </c>
      <c r="F44" s="1">
        <v>3</v>
      </c>
      <c r="G44" s="1">
        <v>6</v>
      </c>
      <c r="H44" s="1">
        <v>81.19</v>
      </c>
      <c r="I44" s="5">
        <v>76891</v>
      </c>
      <c r="J44" s="5">
        <v>5294</v>
      </c>
    </row>
    <row r="45" spans="3:10" x14ac:dyDescent="0.3">
      <c r="C45" s="1">
        <v>41</v>
      </c>
      <c r="D45" s="1">
        <v>5</v>
      </c>
      <c r="E45" s="1">
        <v>1000</v>
      </c>
      <c r="F45" s="1">
        <v>6</v>
      </c>
      <c r="G45" s="1">
        <v>6</v>
      </c>
      <c r="H45" s="1">
        <v>8.4499999999999993</v>
      </c>
      <c r="I45" s="5">
        <v>6326</v>
      </c>
      <c r="J45" s="5">
        <v>25129</v>
      </c>
    </row>
    <row r="46" spans="3:10" x14ac:dyDescent="0.3">
      <c r="C46" s="1">
        <v>42</v>
      </c>
      <c r="D46" s="1">
        <v>32.5</v>
      </c>
      <c r="E46" s="1">
        <v>1000</v>
      </c>
      <c r="F46" s="1">
        <v>9</v>
      </c>
      <c r="G46" s="1">
        <v>6</v>
      </c>
      <c r="H46" s="1">
        <v>11.76</v>
      </c>
      <c r="I46" s="5">
        <v>18473</v>
      </c>
      <c r="J46" s="5">
        <v>-57087</v>
      </c>
    </row>
    <row r="47" spans="3:10" x14ac:dyDescent="0.3">
      <c r="C47" s="1">
        <v>43</v>
      </c>
      <c r="D47" s="1">
        <v>32.5</v>
      </c>
      <c r="E47" s="1">
        <v>1000</v>
      </c>
      <c r="F47" s="1">
        <v>6</v>
      </c>
      <c r="G47" s="1">
        <v>2</v>
      </c>
      <c r="H47" s="1">
        <v>22.85</v>
      </c>
      <c r="I47" s="5">
        <v>27420</v>
      </c>
      <c r="J47" s="5">
        <v>-20001</v>
      </c>
    </row>
    <row r="48" spans="3:10" x14ac:dyDescent="0.3">
      <c r="C48" s="1">
        <v>44</v>
      </c>
      <c r="D48" s="1">
        <v>32.5</v>
      </c>
      <c r="E48" s="1">
        <v>1000</v>
      </c>
      <c r="F48" s="1">
        <v>6</v>
      </c>
      <c r="G48" s="1">
        <v>10</v>
      </c>
      <c r="H48" s="1">
        <v>19.760000000000002</v>
      </c>
      <c r="I48" s="5">
        <v>17604</v>
      </c>
      <c r="J48" s="5">
        <v>10907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Codificado</vt:lpstr>
      <vt:lpstr>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 Hilário</dc:creator>
  <cp:lastModifiedBy>Felipe Ferri Hilário</cp:lastModifiedBy>
  <dcterms:created xsi:type="dcterms:W3CDTF">2026-01-29T16:14:52Z</dcterms:created>
  <dcterms:modified xsi:type="dcterms:W3CDTF">2026-01-30T00:23:35Z</dcterms:modified>
</cp:coreProperties>
</file>