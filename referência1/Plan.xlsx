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OneDrive\Documentos\Projeto_mestrado\DoE\artigos_de_referencia\Xinbo_Zhu\"/>
    </mc:Choice>
  </mc:AlternateContent>
  <xr:revisionPtr revIDLastSave="0" documentId="13_ncr:1_{D2F03A59-3076-452D-8654-8903D4260AD3}" xr6:coauthVersionLast="47" xr6:coauthVersionMax="47" xr10:uidLastSave="{00000000-0000-0000-0000-000000000000}"/>
  <bookViews>
    <workbookView xWindow="-108" yWindow="-108" windowWidth="23256" windowHeight="12576" activeTab="2" xr2:uid="{CDE8510D-234F-4092-B142-2329A4DC3F7C}"/>
  </bookViews>
  <sheets>
    <sheet name="Resultados" sheetId="1" r:id="rId1"/>
    <sheet name="Matriz Posto" sheetId="2" r:id="rId2"/>
    <sheet name="Codificad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3" l="1"/>
  <c r="G4" i="3"/>
  <c r="H4" i="3"/>
  <c r="I4" i="3"/>
  <c r="J4" i="3"/>
  <c r="K4" i="3"/>
  <c r="F5" i="3"/>
  <c r="G5" i="3"/>
  <c r="H5" i="3"/>
  <c r="I5" i="3"/>
  <c r="J5" i="3"/>
  <c r="K5" i="3"/>
  <c r="F6" i="3"/>
  <c r="G6" i="3"/>
  <c r="H6" i="3"/>
  <c r="I6" i="3"/>
  <c r="J6" i="3"/>
  <c r="K6" i="3"/>
  <c r="F7" i="3"/>
  <c r="G7" i="3"/>
  <c r="H7" i="3"/>
  <c r="I7" i="3"/>
  <c r="J7" i="3"/>
  <c r="K7" i="3"/>
  <c r="F8" i="3"/>
  <c r="G8" i="3"/>
  <c r="H8" i="3"/>
  <c r="I8" i="3"/>
  <c r="J8" i="3"/>
  <c r="K8" i="3"/>
  <c r="F9" i="3"/>
  <c r="G9" i="3"/>
  <c r="H9" i="3"/>
  <c r="I9" i="3"/>
  <c r="J9" i="3"/>
  <c r="K9" i="3"/>
  <c r="F10" i="3"/>
  <c r="G10" i="3"/>
  <c r="H10" i="3"/>
  <c r="I10" i="3"/>
  <c r="J10" i="3"/>
  <c r="K10" i="3"/>
  <c r="F11" i="3"/>
  <c r="G11" i="3"/>
  <c r="H11" i="3"/>
  <c r="I11" i="3"/>
  <c r="J11" i="3"/>
  <c r="K11" i="3"/>
  <c r="F12" i="3"/>
  <c r="G12" i="3"/>
  <c r="H12" i="3"/>
  <c r="I12" i="3"/>
  <c r="J12" i="3"/>
  <c r="K12" i="3"/>
  <c r="F13" i="3"/>
  <c r="G13" i="3"/>
  <c r="H13" i="3"/>
  <c r="I13" i="3"/>
  <c r="J13" i="3"/>
  <c r="K13" i="3"/>
  <c r="F14" i="3"/>
  <c r="G14" i="3"/>
  <c r="H14" i="3"/>
  <c r="I14" i="3"/>
  <c r="J14" i="3"/>
  <c r="K14" i="3"/>
  <c r="F15" i="3"/>
  <c r="G15" i="3"/>
  <c r="H15" i="3"/>
  <c r="I15" i="3"/>
  <c r="J15" i="3"/>
  <c r="K15" i="3"/>
  <c r="F16" i="3"/>
  <c r="G16" i="3"/>
  <c r="H16" i="3"/>
  <c r="I16" i="3"/>
  <c r="J16" i="3"/>
  <c r="K16" i="3"/>
  <c r="F17" i="3"/>
  <c r="G17" i="3"/>
  <c r="H17" i="3"/>
  <c r="I17" i="3"/>
  <c r="J17" i="3"/>
  <c r="K17" i="3"/>
  <c r="F18" i="3"/>
  <c r="G18" i="3"/>
  <c r="H18" i="3"/>
  <c r="I18" i="3"/>
  <c r="J18" i="3"/>
  <c r="K18" i="3"/>
  <c r="F19" i="3"/>
  <c r="G19" i="3"/>
  <c r="H19" i="3"/>
  <c r="I19" i="3"/>
  <c r="J19" i="3"/>
  <c r="K19" i="3"/>
  <c r="F20" i="3"/>
  <c r="G20" i="3"/>
  <c r="H20" i="3"/>
  <c r="I20" i="3"/>
  <c r="J20" i="3"/>
  <c r="K20" i="3"/>
  <c r="F21" i="3"/>
  <c r="G21" i="3"/>
  <c r="H21" i="3"/>
  <c r="I21" i="3"/>
  <c r="J21" i="3"/>
  <c r="K21" i="3"/>
  <c r="F22" i="3"/>
  <c r="G22" i="3"/>
  <c r="H22" i="3"/>
  <c r="I22" i="3"/>
  <c r="J22" i="3"/>
  <c r="K22" i="3"/>
  <c r="F23" i="3"/>
  <c r="G23" i="3"/>
  <c r="H23" i="3"/>
  <c r="I23" i="3"/>
  <c r="J23" i="3"/>
  <c r="K23" i="3"/>
  <c r="F5" i="2"/>
  <c r="G5" i="2"/>
  <c r="H5" i="2"/>
  <c r="I5" i="2"/>
  <c r="J5" i="2"/>
  <c r="K5" i="2"/>
  <c r="F6" i="2"/>
  <c r="G6" i="2"/>
  <c r="H6" i="2"/>
  <c r="I6" i="2"/>
  <c r="J6" i="2"/>
  <c r="K6" i="2"/>
  <c r="F7" i="2"/>
  <c r="G7" i="2"/>
  <c r="H7" i="2"/>
  <c r="I7" i="2"/>
  <c r="J7" i="2"/>
  <c r="K7" i="2"/>
  <c r="F8" i="2"/>
  <c r="G8" i="2"/>
  <c r="H8" i="2"/>
  <c r="I8" i="2"/>
  <c r="J8" i="2"/>
  <c r="K8" i="2"/>
  <c r="F9" i="2"/>
  <c r="G9" i="2"/>
  <c r="H9" i="2"/>
  <c r="I9" i="2"/>
  <c r="J9" i="2"/>
  <c r="K9" i="2"/>
  <c r="F10" i="2"/>
  <c r="G10" i="2"/>
  <c r="H10" i="2"/>
  <c r="I10" i="2"/>
  <c r="J10" i="2"/>
  <c r="K10" i="2"/>
  <c r="F11" i="2"/>
  <c r="G11" i="2"/>
  <c r="H11" i="2"/>
  <c r="I11" i="2"/>
  <c r="J11" i="2"/>
  <c r="K11" i="2"/>
  <c r="F12" i="2"/>
  <c r="G12" i="2"/>
  <c r="H12" i="2"/>
  <c r="I12" i="2"/>
  <c r="J12" i="2"/>
  <c r="K12" i="2"/>
  <c r="F13" i="2"/>
  <c r="G13" i="2"/>
  <c r="H13" i="2"/>
  <c r="I13" i="2"/>
  <c r="J13" i="2"/>
  <c r="K13" i="2"/>
  <c r="F14" i="2"/>
  <c r="G14" i="2"/>
  <c r="H14" i="2"/>
  <c r="I14" i="2"/>
  <c r="J14" i="2"/>
  <c r="K14" i="2"/>
  <c r="F15" i="2"/>
  <c r="G15" i="2"/>
  <c r="H15" i="2"/>
  <c r="I15" i="2"/>
  <c r="J15" i="2"/>
  <c r="K15" i="2"/>
  <c r="F16" i="2"/>
  <c r="G16" i="2"/>
  <c r="H16" i="2"/>
  <c r="I16" i="2"/>
  <c r="J16" i="2"/>
  <c r="K16" i="2"/>
  <c r="F17" i="2"/>
  <c r="G17" i="2"/>
  <c r="H17" i="2"/>
  <c r="I17" i="2"/>
  <c r="J17" i="2"/>
  <c r="K17" i="2"/>
  <c r="F18" i="2"/>
  <c r="G18" i="2"/>
  <c r="H18" i="2"/>
  <c r="I18" i="2"/>
  <c r="J18" i="2"/>
  <c r="K18" i="2"/>
  <c r="F19" i="2"/>
  <c r="G19" i="2"/>
  <c r="H19" i="2"/>
  <c r="I19" i="2"/>
  <c r="J19" i="2"/>
  <c r="K19" i="2"/>
  <c r="F20" i="2"/>
  <c r="G20" i="2"/>
  <c r="H20" i="2"/>
  <c r="I20" i="2"/>
  <c r="J20" i="2"/>
  <c r="K20" i="2"/>
  <c r="F21" i="2"/>
  <c r="G21" i="2"/>
  <c r="H21" i="2"/>
  <c r="I21" i="2"/>
  <c r="J21" i="2"/>
  <c r="K21" i="2"/>
  <c r="F22" i="2"/>
  <c r="G22" i="2"/>
  <c r="H22" i="2"/>
  <c r="I22" i="2"/>
  <c r="J22" i="2"/>
  <c r="K22" i="2"/>
  <c r="F23" i="2"/>
  <c r="G23" i="2"/>
  <c r="H23" i="2"/>
  <c r="I23" i="2"/>
  <c r="J23" i="2"/>
  <c r="K23" i="2"/>
  <c r="K4" i="2"/>
  <c r="I4" i="2"/>
  <c r="J4" i="2"/>
  <c r="H4" i="2"/>
  <c r="G4" i="2"/>
  <c r="F4" i="2"/>
</calcChain>
</file>

<file path=xl/sharedStrings.xml><?xml version="1.0" encoding="utf-8"?>
<sst xmlns="http://schemas.openxmlformats.org/spreadsheetml/2006/main" count="30" uniqueCount="18">
  <si>
    <t>Discharge Power</t>
  </si>
  <si>
    <t xml:space="preserve">Experimental run </t>
  </si>
  <si>
    <t>Gas Flow Rate</t>
  </si>
  <si>
    <t>Initial concentration of Accetone</t>
  </si>
  <si>
    <t>Removal Efficiency</t>
  </si>
  <si>
    <t>Energy Efficiency</t>
  </si>
  <si>
    <t>X1</t>
  </si>
  <si>
    <t>X2</t>
  </si>
  <si>
    <t>X3</t>
  </si>
  <si>
    <t>X0</t>
  </si>
  <si>
    <t>X12</t>
  </si>
  <si>
    <t>X13</t>
  </si>
  <si>
    <t>X23</t>
  </si>
  <si>
    <t>X11</t>
  </si>
  <si>
    <t>X22</t>
  </si>
  <si>
    <t>X33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</si>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</sst>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928AF1-F590-45D2-91C1-D96870B1B6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37DF-06E8-48B1-8AAF-207302D86914}">
  <dimension ref="B3:G23"/>
  <sheetViews>
    <sheetView workbookViewId="0">
      <selection activeCell="F4" sqref="F4:G23"/>
    </sheetView>
  </sheetViews>
  <sheetFormatPr defaultRowHeight="14.4" x14ac:dyDescent="0.3"/>
  <cols>
    <col min="2" max="2" width="12.33203125" customWidth="1"/>
    <col min="3" max="3" width="9.88671875" customWidth="1"/>
    <col min="4" max="4" width="8.77734375" customWidth="1"/>
    <col min="5" max="5" width="18.77734375" customWidth="1"/>
    <col min="6" max="6" width="10" customWidth="1"/>
    <col min="7" max="7" width="10.109375" customWidth="1"/>
  </cols>
  <sheetData>
    <row r="3" spans="2:7" ht="29.4" customHeight="1" x14ac:dyDescent="0.3">
      <c r="B3" s="2" t="s">
        <v>1</v>
      </c>
      <c r="C3" s="2" t="s">
        <v>0</v>
      </c>
      <c r="D3" s="2" t="s">
        <v>2</v>
      </c>
      <c r="E3" s="2" t="s">
        <v>3</v>
      </c>
      <c r="F3" s="2" t="s">
        <v>4</v>
      </c>
      <c r="G3" s="2" t="s">
        <v>5</v>
      </c>
    </row>
    <row r="4" spans="2:7" x14ac:dyDescent="0.3">
      <c r="B4" s="1">
        <v>1</v>
      </c>
      <c r="C4" s="1">
        <v>20</v>
      </c>
      <c r="D4" s="1">
        <v>1</v>
      </c>
      <c r="E4" s="1">
        <v>200</v>
      </c>
      <c r="F4" s="1">
        <v>59.3</v>
      </c>
      <c r="G4" s="1">
        <v>0.91</v>
      </c>
    </row>
    <row r="5" spans="2:7" x14ac:dyDescent="0.3">
      <c r="B5" s="1">
        <v>2</v>
      </c>
      <c r="C5" s="1">
        <v>20</v>
      </c>
      <c r="D5" s="1">
        <v>1</v>
      </c>
      <c r="E5" s="1">
        <v>200</v>
      </c>
      <c r="F5" s="1">
        <v>59.2</v>
      </c>
      <c r="G5" s="1">
        <v>0.91</v>
      </c>
    </row>
    <row r="6" spans="2:7" x14ac:dyDescent="0.3">
      <c r="B6" s="1">
        <v>3</v>
      </c>
      <c r="C6" s="1">
        <v>20</v>
      </c>
      <c r="D6" s="1">
        <v>0.5</v>
      </c>
      <c r="E6" s="1">
        <v>200</v>
      </c>
      <c r="F6" s="1">
        <v>78.5</v>
      </c>
      <c r="G6" s="1">
        <v>0.6</v>
      </c>
    </row>
    <row r="7" spans="2:7" x14ac:dyDescent="0.3">
      <c r="B7" s="1">
        <v>4</v>
      </c>
      <c r="C7" s="1">
        <v>15</v>
      </c>
      <c r="D7" s="1">
        <v>1</v>
      </c>
      <c r="E7" s="1">
        <v>200</v>
      </c>
      <c r="F7" s="1">
        <v>49.7</v>
      </c>
      <c r="G7" s="1">
        <v>1.02</v>
      </c>
    </row>
    <row r="8" spans="2:7" x14ac:dyDescent="0.3">
      <c r="B8" s="1">
        <v>5</v>
      </c>
      <c r="C8" s="1">
        <v>20</v>
      </c>
      <c r="D8" s="1">
        <v>1</v>
      </c>
      <c r="E8" s="1">
        <v>200</v>
      </c>
      <c r="F8" s="1">
        <v>59.5</v>
      </c>
      <c r="G8" s="1">
        <v>0.92</v>
      </c>
    </row>
    <row r="9" spans="2:7" x14ac:dyDescent="0.3">
      <c r="B9" s="1">
        <v>6</v>
      </c>
      <c r="C9" s="1">
        <v>17.5</v>
      </c>
      <c r="D9" s="1">
        <v>0.75</v>
      </c>
      <c r="E9" s="1">
        <v>250</v>
      </c>
      <c r="F9" s="1">
        <v>59.7</v>
      </c>
      <c r="G9" s="1">
        <v>0.98</v>
      </c>
    </row>
    <row r="10" spans="2:7" x14ac:dyDescent="0.3">
      <c r="B10" s="1">
        <v>7</v>
      </c>
      <c r="C10" s="1">
        <v>20</v>
      </c>
      <c r="D10" s="1">
        <v>1</v>
      </c>
      <c r="E10" s="1">
        <v>300</v>
      </c>
      <c r="F10" s="1">
        <v>51.1</v>
      </c>
      <c r="G10" s="1">
        <v>1.18</v>
      </c>
    </row>
    <row r="11" spans="2:7" x14ac:dyDescent="0.3">
      <c r="B11" s="1">
        <v>8</v>
      </c>
      <c r="C11" s="1">
        <v>22.5</v>
      </c>
      <c r="D11" s="1">
        <v>0.75</v>
      </c>
      <c r="E11" s="1">
        <v>250</v>
      </c>
      <c r="F11" s="1">
        <v>68.7</v>
      </c>
      <c r="G11" s="1">
        <v>0.88</v>
      </c>
    </row>
    <row r="12" spans="2:7" x14ac:dyDescent="0.3">
      <c r="B12" s="1">
        <v>9</v>
      </c>
      <c r="C12" s="1">
        <v>22.5</v>
      </c>
      <c r="D12" s="1">
        <v>1.25</v>
      </c>
      <c r="E12" s="1">
        <v>250</v>
      </c>
      <c r="F12" s="1">
        <v>55.4</v>
      </c>
      <c r="G12" s="1">
        <v>1.18</v>
      </c>
    </row>
    <row r="13" spans="2:7" x14ac:dyDescent="0.3">
      <c r="B13" s="1">
        <v>10</v>
      </c>
      <c r="C13" s="1">
        <v>20</v>
      </c>
      <c r="D13" s="1">
        <v>1</v>
      </c>
      <c r="E13" s="1">
        <v>200</v>
      </c>
      <c r="F13" s="1">
        <v>59.3</v>
      </c>
      <c r="G13" s="1">
        <v>0.91</v>
      </c>
    </row>
    <row r="14" spans="2:7" x14ac:dyDescent="0.3">
      <c r="B14" s="1">
        <v>11</v>
      </c>
      <c r="C14" s="1">
        <v>17.5</v>
      </c>
      <c r="D14" s="1">
        <v>1.25</v>
      </c>
      <c r="E14" s="1">
        <v>250</v>
      </c>
      <c r="F14" s="1">
        <v>47.2</v>
      </c>
      <c r="G14" s="1">
        <v>1.3</v>
      </c>
    </row>
    <row r="15" spans="2:7" x14ac:dyDescent="0.3">
      <c r="B15" s="1">
        <v>12</v>
      </c>
      <c r="C15" s="1">
        <v>25</v>
      </c>
      <c r="D15" s="1">
        <v>1</v>
      </c>
      <c r="E15" s="1">
        <v>200</v>
      </c>
      <c r="F15" s="1">
        <v>67.900000000000006</v>
      </c>
      <c r="G15" s="1">
        <v>0.84</v>
      </c>
    </row>
    <row r="16" spans="2:7" x14ac:dyDescent="0.3">
      <c r="B16" s="1">
        <v>13</v>
      </c>
      <c r="C16" s="1">
        <v>22.5</v>
      </c>
      <c r="D16" s="1">
        <v>0.75</v>
      </c>
      <c r="E16" s="1">
        <v>150</v>
      </c>
      <c r="F16" s="1">
        <v>81.3</v>
      </c>
      <c r="G16" s="1">
        <v>0.63</v>
      </c>
    </row>
    <row r="17" spans="2:7" x14ac:dyDescent="0.3">
      <c r="B17" s="1">
        <v>14</v>
      </c>
      <c r="C17" s="1">
        <v>20</v>
      </c>
      <c r="D17" s="1">
        <v>1.5</v>
      </c>
      <c r="E17" s="1">
        <v>200</v>
      </c>
      <c r="F17" s="1">
        <v>44.3</v>
      </c>
      <c r="G17" s="1">
        <v>1.02</v>
      </c>
    </row>
    <row r="18" spans="2:7" x14ac:dyDescent="0.3">
      <c r="B18" s="1">
        <v>15</v>
      </c>
      <c r="C18" s="1">
        <v>20</v>
      </c>
      <c r="D18" s="1">
        <v>1</v>
      </c>
      <c r="E18" s="1">
        <v>100</v>
      </c>
      <c r="F18" s="1">
        <v>72.2</v>
      </c>
      <c r="G18" s="1">
        <v>0.56000000000000005</v>
      </c>
    </row>
    <row r="19" spans="2:7" x14ac:dyDescent="0.3">
      <c r="B19" s="1">
        <v>16</v>
      </c>
      <c r="C19" s="1">
        <v>22.5</v>
      </c>
      <c r="D19" s="1">
        <v>1.25</v>
      </c>
      <c r="E19" s="1">
        <v>150</v>
      </c>
      <c r="F19" s="1">
        <v>64.3</v>
      </c>
      <c r="G19" s="1">
        <v>0.82</v>
      </c>
    </row>
    <row r="20" spans="2:7" x14ac:dyDescent="0.3">
      <c r="B20" s="1">
        <v>17</v>
      </c>
      <c r="C20" s="1">
        <v>20</v>
      </c>
      <c r="D20" s="1">
        <v>1</v>
      </c>
      <c r="E20" s="1">
        <v>200</v>
      </c>
      <c r="F20" s="1">
        <v>59.2</v>
      </c>
      <c r="G20" s="1">
        <v>0.91</v>
      </c>
    </row>
    <row r="21" spans="2:7" x14ac:dyDescent="0.3">
      <c r="B21" s="1">
        <v>18</v>
      </c>
      <c r="C21" s="1">
        <v>17.5</v>
      </c>
      <c r="D21" s="1">
        <v>0.75</v>
      </c>
      <c r="E21" s="1">
        <v>150</v>
      </c>
      <c r="F21" s="1">
        <v>73.400000000000006</v>
      </c>
      <c r="G21" s="1">
        <v>0.73</v>
      </c>
    </row>
    <row r="22" spans="2:7" x14ac:dyDescent="0.3">
      <c r="B22" s="1">
        <v>19</v>
      </c>
      <c r="C22" s="1">
        <v>20</v>
      </c>
      <c r="D22" s="1">
        <v>1</v>
      </c>
      <c r="E22" s="1">
        <v>200</v>
      </c>
      <c r="F22" s="1">
        <v>59.3</v>
      </c>
      <c r="G22" s="1">
        <v>0.91</v>
      </c>
    </row>
    <row r="23" spans="2:7" x14ac:dyDescent="0.3">
      <c r="B23" s="1">
        <v>20</v>
      </c>
      <c r="C23" s="1">
        <v>17.5</v>
      </c>
      <c r="D23" s="1">
        <v>1.25</v>
      </c>
      <c r="E23" s="1">
        <v>150</v>
      </c>
      <c r="F23" s="1">
        <v>49.7</v>
      </c>
      <c r="G23" s="1">
        <v>0.82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3F61-2704-4A32-92EA-C8DFFD28478F}">
  <dimension ref="B3:M23"/>
  <sheetViews>
    <sheetView workbookViewId="0">
      <selection activeCell="L4" sqref="L4:M23"/>
    </sheetView>
  </sheetViews>
  <sheetFormatPr defaultRowHeight="14.4" x14ac:dyDescent="0.3"/>
  <sheetData>
    <row r="3" spans="2:13" ht="17.399999999999999" customHeight="1" x14ac:dyDescent="0.3">
      <c r="B3" t="s">
        <v>9</v>
      </c>
      <c r="C3" s="2" t="s">
        <v>6</v>
      </c>
      <c r="D3" s="2" t="s">
        <v>7</v>
      </c>
      <c r="E3" s="2" t="s">
        <v>8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</row>
    <row r="4" spans="2:13" x14ac:dyDescent="0.3">
      <c r="B4">
        <v>1</v>
      </c>
      <c r="C4" s="1">
        <v>20</v>
      </c>
      <c r="D4" s="1">
        <v>1</v>
      </c>
      <c r="E4" s="1">
        <v>200</v>
      </c>
      <c r="F4">
        <f>C4*D4</f>
        <v>20</v>
      </c>
      <c r="G4">
        <f>C4*E4</f>
        <v>4000</v>
      </c>
      <c r="H4">
        <f>D4*E4</f>
        <v>200</v>
      </c>
      <c r="I4">
        <f>C4^2</f>
        <v>400</v>
      </c>
      <c r="J4">
        <f>D4^2</f>
        <v>1</v>
      </c>
      <c r="K4">
        <f>E4^2</f>
        <v>40000</v>
      </c>
      <c r="L4" s="1">
        <v>59.3</v>
      </c>
      <c r="M4" s="1">
        <v>0.91</v>
      </c>
    </row>
    <row r="5" spans="2:13" x14ac:dyDescent="0.3">
      <c r="B5">
        <v>1</v>
      </c>
      <c r="C5" s="1">
        <v>20</v>
      </c>
      <c r="D5" s="1">
        <v>1</v>
      </c>
      <c r="E5" s="1">
        <v>200</v>
      </c>
      <c r="F5">
        <f t="shared" ref="F5:F23" si="0">C5*D5</f>
        <v>20</v>
      </c>
      <c r="G5">
        <f t="shared" ref="G5:G23" si="1">C5*E5</f>
        <v>4000</v>
      </c>
      <c r="H5">
        <f t="shared" ref="H5:H23" si="2">D5*E5</f>
        <v>200</v>
      </c>
      <c r="I5">
        <f t="shared" ref="I5:I23" si="3">C5^2</f>
        <v>400</v>
      </c>
      <c r="J5">
        <f t="shared" ref="J5:J23" si="4">D5^2</f>
        <v>1</v>
      </c>
      <c r="K5">
        <f t="shared" ref="K5:K23" si="5">E5^2</f>
        <v>40000</v>
      </c>
      <c r="L5" s="1">
        <v>59.2</v>
      </c>
      <c r="M5" s="1">
        <v>0.91</v>
      </c>
    </row>
    <row r="6" spans="2:13" x14ac:dyDescent="0.3">
      <c r="B6">
        <v>1</v>
      </c>
      <c r="C6" s="1">
        <v>20</v>
      </c>
      <c r="D6" s="1">
        <v>0.5</v>
      </c>
      <c r="E6" s="1">
        <v>200</v>
      </c>
      <c r="F6">
        <f t="shared" si="0"/>
        <v>10</v>
      </c>
      <c r="G6">
        <f t="shared" si="1"/>
        <v>4000</v>
      </c>
      <c r="H6">
        <f t="shared" si="2"/>
        <v>100</v>
      </c>
      <c r="I6">
        <f t="shared" si="3"/>
        <v>400</v>
      </c>
      <c r="J6">
        <f t="shared" si="4"/>
        <v>0.25</v>
      </c>
      <c r="K6">
        <f t="shared" si="5"/>
        <v>40000</v>
      </c>
      <c r="L6" s="1">
        <v>78.5</v>
      </c>
      <c r="M6" s="1">
        <v>0.6</v>
      </c>
    </row>
    <row r="7" spans="2:13" x14ac:dyDescent="0.3">
      <c r="B7">
        <v>1</v>
      </c>
      <c r="C7" s="1">
        <v>15</v>
      </c>
      <c r="D7" s="1">
        <v>1</v>
      </c>
      <c r="E7" s="1">
        <v>200</v>
      </c>
      <c r="F7">
        <f t="shared" si="0"/>
        <v>15</v>
      </c>
      <c r="G7">
        <f t="shared" si="1"/>
        <v>3000</v>
      </c>
      <c r="H7">
        <f t="shared" si="2"/>
        <v>200</v>
      </c>
      <c r="I7">
        <f t="shared" si="3"/>
        <v>225</v>
      </c>
      <c r="J7">
        <f t="shared" si="4"/>
        <v>1</v>
      </c>
      <c r="K7">
        <f t="shared" si="5"/>
        <v>40000</v>
      </c>
      <c r="L7" s="1">
        <v>49.7</v>
      </c>
      <c r="M7" s="1">
        <v>1.02</v>
      </c>
    </row>
    <row r="8" spans="2:13" x14ac:dyDescent="0.3">
      <c r="B8">
        <v>1</v>
      </c>
      <c r="C8" s="1">
        <v>20</v>
      </c>
      <c r="D8" s="1">
        <v>1</v>
      </c>
      <c r="E8" s="1">
        <v>200</v>
      </c>
      <c r="F8">
        <f t="shared" si="0"/>
        <v>20</v>
      </c>
      <c r="G8">
        <f t="shared" si="1"/>
        <v>4000</v>
      </c>
      <c r="H8">
        <f t="shared" si="2"/>
        <v>200</v>
      </c>
      <c r="I8">
        <f t="shared" si="3"/>
        <v>400</v>
      </c>
      <c r="J8">
        <f t="shared" si="4"/>
        <v>1</v>
      </c>
      <c r="K8">
        <f t="shared" si="5"/>
        <v>40000</v>
      </c>
      <c r="L8" s="1">
        <v>59.5</v>
      </c>
      <c r="M8" s="1">
        <v>0.92</v>
      </c>
    </row>
    <row r="9" spans="2:13" x14ac:dyDescent="0.3">
      <c r="B9">
        <v>1</v>
      </c>
      <c r="C9" s="1">
        <v>17.5</v>
      </c>
      <c r="D9" s="1">
        <v>0.75</v>
      </c>
      <c r="E9" s="1">
        <v>250</v>
      </c>
      <c r="F9">
        <f t="shared" si="0"/>
        <v>13.125</v>
      </c>
      <c r="G9">
        <f t="shared" si="1"/>
        <v>4375</v>
      </c>
      <c r="H9">
        <f t="shared" si="2"/>
        <v>187.5</v>
      </c>
      <c r="I9">
        <f t="shared" si="3"/>
        <v>306.25</v>
      </c>
      <c r="J9">
        <f t="shared" si="4"/>
        <v>0.5625</v>
      </c>
      <c r="K9">
        <f t="shared" si="5"/>
        <v>62500</v>
      </c>
      <c r="L9" s="1">
        <v>59.7</v>
      </c>
      <c r="M9" s="1">
        <v>0.98</v>
      </c>
    </row>
    <row r="10" spans="2:13" x14ac:dyDescent="0.3">
      <c r="B10">
        <v>1</v>
      </c>
      <c r="C10" s="1">
        <v>20</v>
      </c>
      <c r="D10" s="1">
        <v>1</v>
      </c>
      <c r="E10" s="1">
        <v>300</v>
      </c>
      <c r="F10">
        <f t="shared" si="0"/>
        <v>20</v>
      </c>
      <c r="G10">
        <f t="shared" si="1"/>
        <v>6000</v>
      </c>
      <c r="H10">
        <f t="shared" si="2"/>
        <v>300</v>
      </c>
      <c r="I10">
        <f t="shared" si="3"/>
        <v>400</v>
      </c>
      <c r="J10">
        <f t="shared" si="4"/>
        <v>1</v>
      </c>
      <c r="K10">
        <f t="shared" si="5"/>
        <v>90000</v>
      </c>
      <c r="L10" s="1">
        <v>51.1</v>
      </c>
      <c r="M10" s="1">
        <v>1.18</v>
      </c>
    </row>
    <row r="11" spans="2:13" x14ac:dyDescent="0.3">
      <c r="B11">
        <v>1</v>
      </c>
      <c r="C11" s="1">
        <v>22.5</v>
      </c>
      <c r="D11" s="1">
        <v>0.75</v>
      </c>
      <c r="E11" s="1">
        <v>250</v>
      </c>
      <c r="F11">
        <f t="shared" si="0"/>
        <v>16.875</v>
      </c>
      <c r="G11">
        <f t="shared" si="1"/>
        <v>5625</v>
      </c>
      <c r="H11">
        <f t="shared" si="2"/>
        <v>187.5</v>
      </c>
      <c r="I11">
        <f t="shared" si="3"/>
        <v>506.25</v>
      </c>
      <c r="J11">
        <f t="shared" si="4"/>
        <v>0.5625</v>
      </c>
      <c r="K11">
        <f t="shared" si="5"/>
        <v>62500</v>
      </c>
      <c r="L11" s="1">
        <v>68.7</v>
      </c>
      <c r="M11" s="1">
        <v>0.88</v>
      </c>
    </row>
    <row r="12" spans="2:13" x14ac:dyDescent="0.3">
      <c r="B12">
        <v>1</v>
      </c>
      <c r="C12" s="1">
        <v>22.5</v>
      </c>
      <c r="D12" s="1">
        <v>1.25</v>
      </c>
      <c r="E12" s="1">
        <v>250</v>
      </c>
      <c r="F12">
        <f t="shared" si="0"/>
        <v>28.125</v>
      </c>
      <c r="G12">
        <f t="shared" si="1"/>
        <v>5625</v>
      </c>
      <c r="H12">
        <f t="shared" si="2"/>
        <v>312.5</v>
      </c>
      <c r="I12">
        <f t="shared" si="3"/>
        <v>506.25</v>
      </c>
      <c r="J12">
        <f t="shared" si="4"/>
        <v>1.5625</v>
      </c>
      <c r="K12">
        <f t="shared" si="5"/>
        <v>62500</v>
      </c>
      <c r="L12" s="1">
        <v>55.4</v>
      </c>
      <c r="M12" s="1">
        <v>1.18</v>
      </c>
    </row>
    <row r="13" spans="2:13" x14ac:dyDescent="0.3">
      <c r="B13">
        <v>1</v>
      </c>
      <c r="C13" s="1">
        <v>20</v>
      </c>
      <c r="D13" s="1">
        <v>1</v>
      </c>
      <c r="E13" s="1">
        <v>200</v>
      </c>
      <c r="F13">
        <f t="shared" si="0"/>
        <v>20</v>
      </c>
      <c r="G13">
        <f t="shared" si="1"/>
        <v>4000</v>
      </c>
      <c r="H13">
        <f t="shared" si="2"/>
        <v>200</v>
      </c>
      <c r="I13">
        <f t="shared" si="3"/>
        <v>400</v>
      </c>
      <c r="J13">
        <f t="shared" si="4"/>
        <v>1</v>
      </c>
      <c r="K13">
        <f t="shared" si="5"/>
        <v>40000</v>
      </c>
      <c r="L13" s="1">
        <v>59.3</v>
      </c>
      <c r="M13" s="1">
        <v>0.91</v>
      </c>
    </row>
    <row r="14" spans="2:13" x14ac:dyDescent="0.3">
      <c r="B14">
        <v>1</v>
      </c>
      <c r="C14" s="1">
        <v>17.5</v>
      </c>
      <c r="D14" s="1">
        <v>1.25</v>
      </c>
      <c r="E14" s="1">
        <v>250</v>
      </c>
      <c r="F14">
        <f t="shared" si="0"/>
        <v>21.875</v>
      </c>
      <c r="G14">
        <f t="shared" si="1"/>
        <v>4375</v>
      </c>
      <c r="H14">
        <f t="shared" si="2"/>
        <v>312.5</v>
      </c>
      <c r="I14">
        <f t="shared" si="3"/>
        <v>306.25</v>
      </c>
      <c r="J14">
        <f t="shared" si="4"/>
        <v>1.5625</v>
      </c>
      <c r="K14">
        <f t="shared" si="5"/>
        <v>62500</v>
      </c>
      <c r="L14" s="1">
        <v>47.2</v>
      </c>
      <c r="M14" s="1">
        <v>1.3</v>
      </c>
    </row>
    <row r="15" spans="2:13" x14ac:dyDescent="0.3">
      <c r="B15">
        <v>1</v>
      </c>
      <c r="C15" s="1">
        <v>25</v>
      </c>
      <c r="D15" s="1">
        <v>1</v>
      </c>
      <c r="E15" s="1">
        <v>200</v>
      </c>
      <c r="F15">
        <f t="shared" si="0"/>
        <v>25</v>
      </c>
      <c r="G15">
        <f t="shared" si="1"/>
        <v>5000</v>
      </c>
      <c r="H15">
        <f t="shared" si="2"/>
        <v>200</v>
      </c>
      <c r="I15">
        <f t="shared" si="3"/>
        <v>625</v>
      </c>
      <c r="J15">
        <f t="shared" si="4"/>
        <v>1</v>
      </c>
      <c r="K15">
        <f t="shared" si="5"/>
        <v>40000</v>
      </c>
      <c r="L15" s="1">
        <v>67.900000000000006</v>
      </c>
      <c r="M15" s="1">
        <v>0.84</v>
      </c>
    </row>
    <row r="16" spans="2:13" x14ac:dyDescent="0.3">
      <c r="B16">
        <v>1</v>
      </c>
      <c r="C16" s="1">
        <v>22.5</v>
      </c>
      <c r="D16" s="1">
        <v>0.75</v>
      </c>
      <c r="E16" s="1">
        <v>150</v>
      </c>
      <c r="F16">
        <f t="shared" si="0"/>
        <v>16.875</v>
      </c>
      <c r="G16">
        <f t="shared" si="1"/>
        <v>3375</v>
      </c>
      <c r="H16">
        <f t="shared" si="2"/>
        <v>112.5</v>
      </c>
      <c r="I16">
        <f t="shared" si="3"/>
        <v>506.25</v>
      </c>
      <c r="J16">
        <f t="shared" si="4"/>
        <v>0.5625</v>
      </c>
      <c r="K16">
        <f t="shared" si="5"/>
        <v>22500</v>
      </c>
      <c r="L16" s="1">
        <v>81.3</v>
      </c>
      <c r="M16" s="1">
        <v>0.63</v>
      </c>
    </row>
    <row r="17" spans="2:13" x14ac:dyDescent="0.3">
      <c r="B17">
        <v>1</v>
      </c>
      <c r="C17" s="1">
        <v>20</v>
      </c>
      <c r="D17" s="1">
        <v>1.5</v>
      </c>
      <c r="E17" s="1">
        <v>200</v>
      </c>
      <c r="F17">
        <f t="shared" si="0"/>
        <v>30</v>
      </c>
      <c r="G17">
        <f t="shared" si="1"/>
        <v>4000</v>
      </c>
      <c r="H17">
        <f t="shared" si="2"/>
        <v>300</v>
      </c>
      <c r="I17">
        <f t="shared" si="3"/>
        <v>400</v>
      </c>
      <c r="J17">
        <f t="shared" si="4"/>
        <v>2.25</v>
      </c>
      <c r="K17">
        <f t="shared" si="5"/>
        <v>40000</v>
      </c>
      <c r="L17" s="1">
        <v>44.3</v>
      </c>
      <c r="M17" s="1">
        <v>1.02</v>
      </c>
    </row>
    <row r="18" spans="2:13" x14ac:dyDescent="0.3">
      <c r="B18">
        <v>1</v>
      </c>
      <c r="C18" s="1">
        <v>20</v>
      </c>
      <c r="D18" s="1">
        <v>1</v>
      </c>
      <c r="E18" s="1">
        <v>100</v>
      </c>
      <c r="F18">
        <f t="shared" si="0"/>
        <v>20</v>
      </c>
      <c r="G18">
        <f t="shared" si="1"/>
        <v>2000</v>
      </c>
      <c r="H18">
        <f t="shared" si="2"/>
        <v>100</v>
      </c>
      <c r="I18">
        <f t="shared" si="3"/>
        <v>400</v>
      </c>
      <c r="J18">
        <f t="shared" si="4"/>
        <v>1</v>
      </c>
      <c r="K18">
        <f t="shared" si="5"/>
        <v>10000</v>
      </c>
      <c r="L18" s="1">
        <v>72.2</v>
      </c>
      <c r="M18" s="1">
        <v>0.56000000000000005</v>
      </c>
    </row>
    <row r="19" spans="2:13" x14ac:dyDescent="0.3">
      <c r="B19">
        <v>1</v>
      </c>
      <c r="C19" s="1">
        <v>22.5</v>
      </c>
      <c r="D19" s="1">
        <v>1.25</v>
      </c>
      <c r="E19" s="1">
        <v>150</v>
      </c>
      <c r="F19">
        <f t="shared" si="0"/>
        <v>28.125</v>
      </c>
      <c r="G19">
        <f t="shared" si="1"/>
        <v>3375</v>
      </c>
      <c r="H19">
        <f t="shared" si="2"/>
        <v>187.5</v>
      </c>
      <c r="I19">
        <f t="shared" si="3"/>
        <v>506.25</v>
      </c>
      <c r="J19">
        <f t="shared" si="4"/>
        <v>1.5625</v>
      </c>
      <c r="K19">
        <f t="shared" si="5"/>
        <v>22500</v>
      </c>
      <c r="L19" s="1">
        <v>64.3</v>
      </c>
      <c r="M19" s="1">
        <v>0.82</v>
      </c>
    </row>
    <row r="20" spans="2:13" x14ac:dyDescent="0.3">
      <c r="B20">
        <v>1</v>
      </c>
      <c r="C20" s="1">
        <v>20</v>
      </c>
      <c r="D20" s="1">
        <v>1</v>
      </c>
      <c r="E20" s="1">
        <v>200</v>
      </c>
      <c r="F20">
        <f t="shared" si="0"/>
        <v>20</v>
      </c>
      <c r="G20">
        <f t="shared" si="1"/>
        <v>4000</v>
      </c>
      <c r="H20">
        <f t="shared" si="2"/>
        <v>200</v>
      </c>
      <c r="I20">
        <f t="shared" si="3"/>
        <v>400</v>
      </c>
      <c r="J20">
        <f t="shared" si="4"/>
        <v>1</v>
      </c>
      <c r="K20">
        <f t="shared" si="5"/>
        <v>40000</v>
      </c>
      <c r="L20" s="1">
        <v>59.2</v>
      </c>
      <c r="M20" s="1">
        <v>0.91</v>
      </c>
    </row>
    <row r="21" spans="2:13" x14ac:dyDescent="0.3">
      <c r="B21">
        <v>1</v>
      </c>
      <c r="C21" s="1">
        <v>17.5</v>
      </c>
      <c r="D21" s="1">
        <v>0.75</v>
      </c>
      <c r="E21" s="1">
        <v>150</v>
      </c>
      <c r="F21">
        <f t="shared" si="0"/>
        <v>13.125</v>
      </c>
      <c r="G21">
        <f t="shared" si="1"/>
        <v>2625</v>
      </c>
      <c r="H21">
        <f t="shared" si="2"/>
        <v>112.5</v>
      </c>
      <c r="I21">
        <f t="shared" si="3"/>
        <v>306.25</v>
      </c>
      <c r="J21">
        <f t="shared" si="4"/>
        <v>0.5625</v>
      </c>
      <c r="K21">
        <f t="shared" si="5"/>
        <v>22500</v>
      </c>
      <c r="L21" s="1">
        <v>73.400000000000006</v>
      </c>
      <c r="M21" s="1">
        <v>0.73</v>
      </c>
    </row>
    <row r="22" spans="2:13" x14ac:dyDescent="0.3">
      <c r="B22">
        <v>1</v>
      </c>
      <c r="C22" s="1">
        <v>20</v>
      </c>
      <c r="D22" s="1">
        <v>1</v>
      </c>
      <c r="E22" s="1">
        <v>200</v>
      </c>
      <c r="F22">
        <f t="shared" si="0"/>
        <v>20</v>
      </c>
      <c r="G22">
        <f t="shared" si="1"/>
        <v>4000</v>
      </c>
      <c r="H22">
        <f t="shared" si="2"/>
        <v>200</v>
      </c>
      <c r="I22">
        <f t="shared" si="3"/>
        <v>400</v>
      </c>
      <c r="J22">
        <f t="shared" si="4"/>
        <v>1</v>
      </c>
      <c r="K22">
        <f t="shared" si="5"/>
        <v>40000</v>
      </c>
      <c r="L22" s="1">
        <v>59.3</v>
      </c>
      <c r="M22" s="1">
        <v>0.91</v>
      </c>
    </row>
    <row r="23" spans="2:13" x14ac:dyDescent="0.3">
      <c r="B23">
        <v>1</v>
      </c>
      <c r="C23" s="1">
        <v>17.5</v>
      </c>
      <c r="D23" s="1">
        <v>1.25</v>
      </c>
      <c r="E23" s="1">
        <v>150</v>
      </c>
      <c r="F23">
        <f t="shared" si="0"/>
        <v>21.875</v>
      </c>
      <c r="G23">
        <f t="shared" si="1"/>
        <v>2625</v>
      </c>
      <c r="H23">
        <f t="shared" si="2"/>
        <v>187.5</v>
      </c>
      <c r="I23">
        <f t="shared" si="3"/>
        <v>306.25</v>
      </c>
      <c r="J23">
        <f t="shared" si="4"/>
        <v>1.5625</v>
      </c>
      <c r="K23">
        <f t="shared" si="5"/>
        <v>22500</v>
      </c>
      <c r="L23" s="1">
        <v>49.7</v>
      </c>
      <c r="M23" s="1">
        <v>0.82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07DF-3647-49E9-8A83-5143A8553298}">
  <dimension ref="B2:M23"/>
  <sheetViews>
    <sheetView tabSelected="1" workbookViewId="0">
      <selection activeCell="Q16" sqref="Q16"/>
    </sheetView>
  </sheetViews>
  <sheetFormatPr defaultRowHeight="14.4" x14ac:dyDescent="0.3"/>
  <sheetData>
    <row r="2" spans="2:13" x14ac:dyDescent="0.3">
      <c r="C2" s="2"/>
      <c r="D2" s="2"/>
      <c r="E2" s="2"/>
    </row>
    <row r="3" spans="2:13" x14ac:dyDescent="0.3">
      <c r="B3" t="s">
        <v>9</v>
      </c>
      <c r="C3" s="2" t="s">
        <v>6</v>
      </c>
      <c r="D3" s="2" t="s">
        <v>7</v>
      </c>
      <c r="E3" s="2" t="s">
        <v>8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</row>
    <row r="4" spans="2:13" x14ac:dyDescent="0.3">
      <c r="B4" s="1">
        <v>1</v>
      </c>
      <c r="C4" s="1">
        <v>0</v>
      </c>
      <c r="D4" s="1">
        <v>0</v>
      </c>
      <c r="E4" s="1">
        <v>0</v>
      </c>
      <c r="F4">
        <f>C4*D4</f>
        <v>0</v>
      </c>
      <c r="G4">
        <f>C4*E4</f>
        <v>0</v>
      </c>
      <c r="H4">
        <f>D4*E4</f>
        <v>0</v>
      </c>
      <c r="I4">
        <f>C4^2</f>
        <v>0</v>
      </c>
      <c r="J4">
        <f>D4^2</f>
        <v>0</v>
      </c>
      <c r="K4">
        <f>E4^2</f>
        <v>0</v>
      </c>
      <c r="L4" s="1">
        <v>59.3</v>
      </c>
      <c r="M4" s="1">
        <v>0.91</v>
      </c>
    </row>
    <row r="5" spans="2:13" x14ac:dyDescent="0.3">
      <c r="B5" s="1">
        <v>1</v>
      </c>
      <c r="C5" s="1">
        <v>0</v>
      </c>
      <c r="D5" s="1">
        <v>0</v>
      </c>
      <c r="E5" s="1">
        <v>0</v>
      </c>
      <c r="F5">
        <f t="shared" ref="F5:F24" si="0">C5*D5</f>
        <v>0</v>
      </c>
      <c r="G5">
        <f t="shared" ref="G5:G24" si="1">C5*E5</f>
        <v>0</v>
      </c>
      <c r="H5">
        <f t="shared" ref="H5:H24" si="2">D5*E5</f>
        <v>0</v>
      </c>
      <c r="I5">
        <f t="shared" ref="I5:I24" si="3">C5^2</f>
        <v>0</v>
      </c>
      <c r="J5">
        <f t="shared" ref="J5:J24" si="4">D5^2</f>
        <v>0</v>
      </c>
      <c r="K5">
        <f t="shared" ref="K5:K24" si="5">E5^2</f>
        <v>0</v>
      </c>
      <c r="L5" s="1">
        <v>59.2</v>
      </c>
      <c r="M5" s="1">
        <v>0.91</v>
      </c>
    </row>
    <row r="6" spans="2:13" x14ac:dyDescent="0.3">
      <c r="B6" s="1">
        <v>1</v>
      </c>
      <c r="C6" s="1">
        <v>0</v>
      </c>
      <c r="D6" s="1">
        <v>-2</v>
      </c>
      <c r="E6" s="1">
        <v>0</v>
      </c>
      <c r="F6">
        <f t="shared" si="0"/>
        <v>0</v>
      </c>
      <c r="G6">
        <f t="shared" si="1"/>
        <v>0</v>
      </c>
      <c r="H6">
        <f t="shared" si="2"/>
        <v>0</v>
      </c>
      <c r="I6">
        <f t="shared" si="3"/>
        <v>0</v>
      </c>
      <c r="J6">
        <f t="shared" si="4"/>
        <v>4</v>
      </c>
      <c r="K6">
        <f t="shared" si="5"/>
        <v>0</v>
      </c>
      <c r="L6" s="1">
        <v>78.5</v>
      </c>
      <c r="M6" s="1">
        <v>0.6</v>
      </c>
    </row>
    <row r="7" spans="2:13" x14ac:dyDescent="0.3">
      <c r="B7" s="1">
        <v>1</v>
      </c>
      <c r="C7" s="1">
        <v>-2</v>
      </c>
      <c r="D7" s="1">
        <v>0</v>
      </c>
      <c r="E7" s="1">
        <v>0</v>
      </c>
      <c r="F7">
        <f t="shared" si="0"/>
        <v>0</v>
      </c>
      <c r="G7">
        <f t="shared" si="1"/>
        <v>0</v>
      </c>
      <c r="H7">
        <f t="shared" si="2"/>
        <v>0</v>
      </c>
      <c r="I7">
        <f t="shared" si="3"/>
        <v>4</v>
      </c>
      <c r="J7">
        <f t="shared" si="4"/>
        <v>0</v>
      </c>
      <c r="K7">
        <f t="shared" si="5"/>
        <v>0</v>
      </c>
      <c r="L7" s="1">
        <v>49.7</v>
      </c>
      <c r="M7" s="1">
        <v>1.02</v>
      </c>
    </row>
    <row r="8" spans="2:13" x14ac:dyDescent="0.3">
      <c r="B8" s="1">
        <v>1</v>
      </c>
      <c r="C8" s="1">
        <v>0</v>
      </c>
      <c r="D8" s="1">
        <v>0</v>
      </c>
      <c r="E8" s="1">
        <v>0</v>
      </c>
      <c r="F8">
        <f t="shared" si="0"/>
        <v>0</v>
      </c>
      <c r="G8">
        <f t="shared" si="1"/>
        <v>0</v>
      </c>
      <c r="H8">
        <f t="shared" si="2"/>
        <v>0</v>
      </c>
      <c r="I8">
        <f t="shared" si="3"/>
        <v>0</v>
      </c>
      <c r="J8">
        <f t="shared" si="4"/>
        <v>0</v>
      </c>
      <c r="K8">
        <f t="shared" si="5"/>
        <v>0</v>
      </c>
      <c r="L8" s="1">
        <v>59.5</v>
      </c>
      <c r="M8" s="1">
        <v>0.92</v>
      </c>
    </row>
    <row r="9" spans="2:13" x14ac:dyDescent="0.3">
      <c r="B9" s="1">
        <v>1</v>
      </c>
      <c r="C9" s="1">
        <v>-1</v>
      </c>
      <c r="D9" s="1">
        <v>-1</v>
      </c>
      <c r="E9" s="1">
        <v>1</v>
      </c>
      <c r="F9">
        <f t="shared" si="0"/>
        <v>1</v>
      </c>
      <c r="G9">
        <f t="shared" si="1"/>
        <v>-1</v>
      </c>
      <c r="H9">
        <f t="shared" si="2"/>
        <v>-1</v>
      </c>
      <c r="I9">
        <f t="shared" si="3"/>
        <v>1</v>
      </c>
      <c r="J9">
        <f t="shared" si="4"/>
        <v>1</v>
      </c>
      <c r="K9">
        <f t="shared" si="5"/>
        <v>1</v>
      </c>
      <c r="L9" s="1">
        <v>59.7</v>
      </c>
      <c r="M9" s="1">
        <v>0.98</v>
      </c>
    </row>
    <row r="10" spans="2:13" x14ac:dyDescent="0.3">
      <c r="B10" s="1">
        <v>1</v>
      </c>
      <c r="C10" s="1">
        <v>0</v>
      </c>
      <c r="D10" s="1">
        <v>0</v>
      </c>
      <c r="E10" s="1">
        <v>2</v>
      </c>
      <c r="F10">
        <f t="shared" si="0"/>
        <v>0</v>
      </c>
      <c r="G10">
        <f t="shared" si="1"/>
        <v>0</v>
      </c>
      <c r="H10">
        <f t="shared" si="2"/>
        <v>0</v>
      </c>
      <c r="I10">
        <f t="shared" si="3"/>
        <v>0</v>
      </c>
      <c r="J10">
        <f t="shared" si="4"/>
        <v>0</v>
      </c>
      <c r="K10">
        <f t="shared" si="5"/>
        <v>4</v>
      </c>
      <c r="L10" s="1">
        <v>51.1</v>
      </c>
      <c r="M10" s="1">
        <v>1.18</v>
      </c>
    </row>
    <row r="11" spans="2:13" x14ac:dyDescent="0.3">
      <c r="B11" s="1">
        <v>1</v>
      </c>
      <c r="C11" s="1">
        <v>1</v>
      </c>
      <c r="D11" s="1">
        <v>-1</v>
      </c>
      <c r="E11" s="1">
        <v>1</v>
      </c>
      <c r="F11">
        <f t="shared" si="0"/>
        <v>-1</v>
      </c>
      <c r="G11">
        <f t="shared" si="1"/>
        <v>1</v>
      </c>
      <c r="H11">
        <f t="shared" si="2"/>
        <v>-1</v>
      </c>
      <c r="I11">
        <f t="shared" si="3"/>
        <v>1</v>
      </c>
      <c r="J11">
        <f t="shared" si="4"/>
        <v>1</v>
      </c>
      <c r="K11">
        <f t="shared" si="5"/>
        <v>1</v>
      </c>
      <c r="L11" s="1">
        <v>68.7</v>
      </c>
      <c r="M11" s="1">
        <v>0.88</v>
      </c>
    </row>
    <row r="12" spans="2:13" x14ac:dyDescent="0.3">
      <c r="B12" s="1">
        <v>1</v>
      </c>
      <c r="C12" s="1">
        <v>1</v>
      </c>
      <c r="D12" s="1">
        <v>1</v>
      </c>
      <c r="E12" s="1">
        <v>1</v>
      </c>
      <c r="F12">
        <f t="shared" si="0"/>
        <v>1</v>
      </c>
      <c r="G12">
        <f t="shared" si="1"/>
        <v>1</v>
      </c>
      <c r="H12">
        <f t="shared" si="2"/>
        <v>1</v>
      </c>
      <c r="I12">
        <f t="shared" si="3"/>
        <v>1</v>
      </c>
      <c r="J12">
        <f t="shared" si="4"/>
        <v>1</v>
      </c>
      <c r="K12">
        <f t="shared" si="5"/>
        <v>1</v>
      </c>
      <c r="L12" s="1">
        <v>55.4</v>
      </c>
      <c r="M12" s="1">
        <v>1.18</v>
      </c>
    </row>
    <row r="13" spans="2:13" x14ac:dyDescent="0.3">
      <c r="B13" s="1">
        <v>1</v>
      </c>
      <c r="C13" s="1">
        <v>0</v>
      </c>
      <c r="D13" s="1">
        <v>0</v>
      </c>
      <c r="E13" s="1">
        <v>0</v>
      </c>
      <c r="F13">
        <f t="shared" si="0"/>
        <v>0</v>
      </c>
      <c r="G13">
        <f t="shared" si="1"/>
        <v>0</v>
      </c>
      <c r="H13">
        <f t="shared" si="2"/>
        <v>0</v>
      </c>
      <c r="I13">
        <f t="shared" si="3"/>
        <v>0</v>
      </c>
      <c r="J13">
        <f t="shared" si="4"/>
        <v>0</v>
      </c>
      <c r="K13">
        <f t="shared" si="5"/>
        <v>0</v>
      </c>
      <c r="L13" s="1">
        <v>59.3</v>
      </c>
      <c r="M13" s="1">
        <v>0.91</v>
      </c>
    </row>
    <row r="14" spans="2:13" x14ac:dyDescent="0.3">
      <c r="B14" s="1">
        <v>1</v>
      </c>
      <c r="C14" s="1">
        <v>-1</v>
      </c>
      <c r="D14" s="1">
        <v>1</v>
      </c>
      <c r="E14" s="1">
        <v>1</v>
      </c>
      <c r="F14">
        <f t="shared" si="0"/>
        <v>-1</v>
      </c>
      <c r="G14">
        <f t="shared" si="1"/>
        <v>-1</v>
      </c>
      <c r="H14">
        <f t="shared" si="2"/>
        <v>1</v>
      </c>
      <c r="I14">
        <f t="shared" si="3"/>
        <v>1</v>
      </c>
      <c r="J14">
        <f t="shared" si="4"/>
        <v>1</v>
      </c>
      <c r="K14">
        <f t="shared" si="5"/>
        <v>1</v>
      </c>
      <c r="L14" s="1">
        <v>47.2</v>
      </c>
      <c r="M14" s="1">
        <v>1.3</v>
      </c>
    </row>
    <row r="15" spans="2:13" x14ac:dyDescent="0.3">
      <c r="B15" s="1">
        <v>1</v>
      </c>
      <c r="C15" s="1">
        <v>2</v>
      </c>
      <c r="D15" s="1">
        <v>0</v>
      </c>
      <c r="E15" s="1">
        <v>0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3"/>
        <v>4</v>
      </c>
      <c r="J15">
        <f t="shared" si="4"/>
        <v>0</v>
      </c>
      <c r="K15">
        <f t="shared" si="5"/>
        <v>0</v>
      </c>
      <c r="L15" s="1">
        <v>67.900000000000006</v>
      </c>
      <c r="M15" s="1">
        <v>0.84</v>
      </c>
    </row>
    <row r="16" spans="2:13" x14ac:dyDescent="0.3">
      <c r="B16" s="1">
        <v>1</v>
      </c>
      <c r="C16" s="1">
        <v>1</v>
      </c>
      <c r="D16" s="1">
        <v>-1</v>
      </c>
      <c r="E16" s="1">
        <v>-1</v>
      </c>
      <c r="F16">
        <f t="shared" si="0"/>
        <v>-1</v>
      </c>
      <c r="G16">
        <f t="shared" si="1"/>
        <v>-1</v>
      </c>
      <c r="H16">
        <f t="shared" si="2"/>
        <v>1</v>
      </c>
      <c r="I16">
        <f t="shared" si="3"/>
        <v>1</v>
      </c>
      <c r="J16">
        <f t="shared" si="4"/>
        <v>1</v>
      </c>
      <c r="K16">
        <f t="shared" si="5"/>
        <v>1</v>
      </c>
      <c r="L16" s="1">
        <v>81.3</v>
      </c>
      <c r="M16" s="1">
        <v>0.63</v>
      </c>
    </row>
    <row r="17" spans="2:13" x14ac:dyDescent="0.3">
      <c r="B17" s="1">
        <v>1</v>
      </c>
      <c r="C17" s="1">
        <v>0</v>
      </c>
      <c r="D17" s="1">
        <v>2</v>
      </c>
      <c r="E17" s="1">
        <v>0</v>
      </c>
      <c r="F17">
        <f t="shared" si="0"/>
        <v>0</v>
      </c>
      <c r="G17">
        <f t="shared" si="1"/>
        <v>0</v>
      </c>
      <c r="H17">
        <f t="shared" si="2"/>
        <v>0</v>
      </c>
      <c r="I17">
        <f t="shared" si="3"/>
        <v>0</v>
      </c>
      <c r="J17">
        <f t="shared" si="4"/>
        <v>4</v>
      </c>
      <c r="K17">
        <f t="shared" si="5"/>
        <v>0</v>
      </c>
      <c r="L17" s="1">
        <v>44.3</v>
      </c>
      <c r="M17" s="1">
        <v>1.02</v>
      </c>
    </row>
    <row r="18" spans="2:13" x14ac:dyDescent="0.3">
      <c r="B18" s="1">
        <v>1</v>
      </c>
      <c r="C18" s="1">
        <v>0</v>
      </c>
      <c r="D18" s="1">
        <v>0</v>
      </c>
      <c r="E18" s="1">
        <v>-2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3"/>
        <v>0</v>
      </c>
      <c r="J18">
        <f t="shared" si="4"/>
        <v>0</v>
      </c>
      <c r="K18">
        <f t="shared" si="5"/>
        <v>4</v>
      </c>
      <c r="L18" s="1">
        <v>72.2</v>
      </c>
      <c r="M18" s="1">
        <v>0.56000000000000005</v>
      </c>
    </row>
    <row r="19" spans="2:13" x14ac:dyDescent="0.3">
      <c r="B19" s="1">
        <v>1</v>
      </c>
      <c r="C19" s="1">
        <v>1</v>
      </c>
      <c r="D19" s="1">
        <v>1</v>
      </c>
      <c r="E19" s="1">
        <v>-1</v>
      </c>
      <c r="F19">
        <f t="shared" si="0"/>
        <v>1</v>
      </c>
      <c r="G19">
        <f t="shared" si="1"/>
        <v>-1</v>
      </c>
      <c r="H19">
        <f t="shared" si="2"/>
        <v>-1</v>
      </c>
      <c r="I19">
        <f t="shared" si="3"/>
        <v>1</v>
      </c>
      <c r="J19">
        <f t="shared" si="4"/>
        <v>1</v>
      </c>
      <c r="K19">
        <f t="shared" si="5"/>
        <v>1</v>
      </c>
      <c r="L19" s="1">
        <v>64.3</v>
      </c>
      <c r="M19" s="1">
        <v>0.82</v>
      </c>
    </row>
    <row r="20" spans="2:13" x14ac:dyDescent="0.3">
      <c r="B20" s="1">
        <v>1</v>
      </c>
      <c r="C20" s="1">
        <v>0</v>
      </c>
      <c r="D20" s="1">
        <v>0</v>
      </c>
      <c r="E20" s="1">
        <v>0</v>
      </c>
      <c r="F20">
        <f t="shared" si="0"/>
        <v>0</v>
      </c>
      <c r="G20">
        <f t="shared" si="1"/>
        <v>0</v>
      </c>
      <c r="H20">
        <f t="shared" si="2"/>
        <v>0</v>
      </c>
      <c r="I20">
        <f t="shared" si="3"/>
        <v>0</v>
      </c>
      <c r="J20">
        <f t="shared" si="4"/>
        <v>0</v>
      </c>
      <c r="K20">
        <f t="shared" si="5"/>
        <v>0</v>
      </c>
      <c r="L20" s="1">
        <v>59.2</v>
      </c>
      <c r="M20" s="1">
        <v>0.91</v>
      </c>
    </row>
    <row r="21" spans="2:13" x14ac:dyDescent="0.3">
      <c r="B21" s="1">
        <v>1</v>
      </c>
      <c r="C21" s="1">
        <v>-1</v>
      </c>
      <c r="D21" s="1">
        <v>-1</v>
      </c>
      <c r="E21" s="1">
        <v>-1</v>
      </c>
      <c r="F21">
        <f t="shared" si="0"/>
        <v>1</v>
      </c>
      <c r="G21">
        <f t="shared" si="1"/>
        <v>1</v>
      </c>
      <c r="H21">
        <f t="shared" si="2"/>
        <v>1</v>
      </c>
      <c r="I21">
        <f t="shared" si="3"/>
        <v>1</v>
      </c>
      <c r="J21">
        <f t="shared" si="4"/>
        <v>1</v>
      </c>
      <c r="K21">
        <f t="shared" si="5"/>
        <v>1</v>
      </c>
      <c r="L21" s="1">
        <v>73.400000000000006</v>
      </c>
      <c r="M21" s="1">
        <v>0.73</v>
      </c>
    </row>
    <row r="22" spans="2:13" x14ac:dyDescent="0.3">
      <c r="B22" s="1">
        <v>1</v>
      </c>
      <c r="C22" s="1">
        <v>0</v>
      </c>
      <c r="D22" s="1">
        <v>0</v>
      </c>
      <c r="E22" s="1">
        <v>0</v>
      </c>
      <c r="F22">
        <f t="shared" si="0"/>
        <v>0</v>
      </c>
      <c r="G22">
        <f t="shared" si="1"/>
        <v>0</v>
      </c>
      <c r="H22">
        <f t="shared" si="2"/>
        <v>0</v>
      </c>
      <c r="I22">
        <f t="shared" si="3"/>
        <v>0</v>
      </c>
      <c r="J22">
        <f t="shared" si="4"/>
        <v>0</v>
      </c>
      <c r="K22">
        <f t="shared" si="5"/>
        <v>0</v>
      </c>
      <c r="L22" s="1">
        <v>59.3</v>
      </c>
      <c r="M22" s="1">
        <v>0.91</v>
      </c>
    </row>
    <row r="23" spans="2:13" x14ac:dyDescent="0.3">
      <c r="B23" s="1">
        <v>1</v>
      </c>
      <c r="C23" s="1">
        <v>-1</v>
      </c>
      <c r="D23" s="1">
        <v>1</v>
      </c>
      <c r="E23" s="1">
        <v>-1</v>
      </c>
      <c r="F23">
        <f t="shared" si="0"/>
        <v>-1</v>
      </c>
      <c r="G23">
        <f t="shared" si="1"/>
        <v>1</v>
      </c>
      <c r="H23">
        <f t="shared" si="2"/>
        <v>-1</v>
      </c>
      <c r="I23">
        <f t="shared" si="3"/>
        <v>1</v>
      </c>
      <c r="J23">
        <f t="shared" si="4"/>
        <v>1</v>
      </c>
      <c r="K23">
        <f t="shared" si="5"/>
        <v>1</v>
      </c>
      <c r="L23" s="1">
        <v>49.7</v>
      </c>
      <c r="M23" s="1">
        <v>0.82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Resultados</vt:lpstr>
      <vt:lpstr>Matriz Posto</vt:lpstr>
      <vt:lpstr>Codificada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 Hilário</dc:creator>
  <cp:lastModifiedBy>Felipe Ferri Hilário</cp:lastModifiedBy>
  <dcterms:created xsi:type="dcterms:W3CDTF">2026-01-27T12:15:32Z</dcterms:created>
  <dcterms:modified xsi:type="dcterms:W3CDTF">2026-01-27T14:35:41Z</dcterms:modified>
</cp:coreProperties>
</file>